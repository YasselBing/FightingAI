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defaultThemeVersion="123820"/>
  <mc:AlternateContent xmlns:mc="http://schemas.openxmlformats.org/markup-compatibility/2006">
    <mc:Choice Requires="x15">
      <x15ac:absPath xmlns:x15ac="http://schemas.microsoft.com/office/spreadsheetml/2010/11/ac" url="D:\FightingBook\FightingBook\"/>
    </mc:Choice>
  </mc:AlternateContent>
  <bookViews>
    <workbookView xWindow="760" yWindow="1200" windowWidth="10490" windowHeight="4550" tabRatio="709" xr2:uid="{00000000-000D-0000-FFFF-FFFF00000000}"/>
  </bookViews>
  <sheets>
    <sheet name="Sprint" sheetId="7" r:id="rId1"/>
    <sheet name="Analysis" sheetId="8" r:id="rId2"/>
    <sheet name="Team Roster" sheetId="5" r:id="rId3"/>
    <sheet name="Capacity" sheetId="6" r:id="rId4"/>
    <sheet name="Project Specific Reports" sheetId="9" r:id="rId5"/>
  </sheets>
  <definedNames>
    <definedName name="_xlnm._FilterDatabase" localSheetId="0" hidden="1">Sprint!$C$3:$EA$10</definedName>
    <definedName name="Burndown" localSheetId="1">Sprint!$J$4:$DZ$11</definedName>
    <definedName name="Burndown">Sprint!$J$4:$DZ$11</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HoursLeftColumn" localSheetId="1">Analysis!$E$46</definedName>
    <definedName name="HoursLeftColumn">Analysis!$E$46</definedName>
    <definedName name="HoursSpentColumn" localSheetId="1">Analysis!$E$45</definedName>
    <definedName name="HoursSpentColumn">Analysis!$E$45</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_xlnm.Print_Area" localSheetId="3">Capacity!$A$4:$AP$32</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Sprint!$J$1:$DZ$1</definedName>
    <definedName name="SprintDates">Sprint!$J$1:$DZ$1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Sprint!$EA$4:$EA$11</definedName>
    <definedName name="TotalEffort">Sprint!$EA$4:$EA$11</definedName>
  </definedNames>
  <calcPr calcId="171027"/>
</workbook>
</file>

<file path=xl/calcChain.xml><?xml version="1.0" encoding="utf-8"?>
<calcChain xmlns="http://schemas.openxmlformats.org/spreadsheetml/2006/main">
  <c r="L9" i="7" l="1"/>
  <c r="K9" i="7"/>
  <c r="N8" i="7"/>
  <c r="Q8" i="7" s="1"/>
  <c r="T8" i="7" s="1"/>
  <c r="W8" i="7" s="1"/>
  <c r="Z8" i="7" s="1"/>
  <c r="AC8" i="7" s="1"/>
  <c r="AF8" i="7" s="1"/>
  <c r="AI8" i="7" s="1"/>
  <c r="AL8" i="7" s="1"/>
  <c r="AO8" i="7" s="1"/>
  <c r="AR8" i="7" s="1"/>
  <c r="AU8" i="7" s="1"/>
  <c r="AX8" i="7" s="1"/>
  <c r="BA8" i="7" s="1"/>
  <c r="BD8" i="7" s="1"/>
  <c r="BG8" i="7" s="1"/>
  <c r="BJ8" i="7" s="1"/>
  <c r="BM8" i="7" s="1"/>
  <c r="BP8" i="7" s="1"/>
  <c r="BS8" i="7" s="1"/>
  <c r="BV8" i="7" s="1"/>
  <c r="BY8" i="7" s="1"/>
  <c r="CB8" i="7" s="1"/>
  <c r="CE8" i="7" s="1"/>
  <c r="CH8" i="7" s="1"/>
  <c r="CK8" i="7" s="1"/>
  <c r="CN8" i="7" s="1"/>
  <c r="CQ8" i="7" s="1"/>
  <c r="CT8" i="7" s="1"/>
  <c r="CW8" i="7" s="1"/>
  <c r="CZ8" i="7" s="1"/>
  <c r="DC8" i="7" s="1"/>
  <c r="DF8" i="7" s="1"/>
  <c r="DI8" i="7" s="1"/>
  <c r="DL8" i="7" s="1"/>
  <c r="DO8" i="7" s="1"/>
  <c r="DR8" i="7" s="1"/>
  <c r="DU8" i="7" s="1"/>
  <c r="DX8" i="7" s="1"/>
  <c r="L8" i="7"/>
  <c r="K8" i="7"/>
  <c r="K7" i="7"/>
  <c r="L7" i="7" s="1"/>
  <c r="K10" i="7"/>
  <c r="L10" i="7" s="1"/>
  <c r="N9" i="7" l="1"/>
  <c r="R8" i="7"/>
  <c r="O8" i="7"/>
  <c r="N7" i="7"/>
  <c r="Q7" i="7" s="1"/>
  <c r="T7" i="7" s="1"/>
  <c r="W7" i="7" s="1"/>
  <c r="Z7" i="7" s="1"/>
  <c r="AC7" i="7" s="1"/>
  <c r="AF7" i="7" s="1"/>
  <c r="AI7" i="7" s="1"/>
  <c r="AL7" i="7" s="1"/>
  <c r="AO7" i="7" s="1"/>
  <c r="AR7" i="7" s="1"/>
  <c r="AU7" i="7" s="1"/>
  <c r="AX7" i="7" s="1"/>
  <c r="BA7" i="7" s="1"/>
  <c r="BD7" i="7" s="1"/>
  <c r="BG7" i="7" s="1"/>
  <c r="BJ7" i="7" s="1"/>
  <c r="BM7" i="7" s="1"/>
  <c r="BP7" i="7" s="1"/>
  <c r="BS7" i="7" s="1"/>
  <c r="BV7" i="7" s="1"/>
  <c r="BY7" i="7" s="1"/>
  <c r="CB7" i="7" s="1"/>
  <c r="CE7" i="7" s="1"/>
  <c r="CH7" i="7" s="1"/>
  <c r="CK7" i="7" s="1"/>
  <c r="CN7" i="7" s="1"/>
  <c r="CQ7" i="7" s="1"/>
  <c r="CT7" i="7" s="1"/>
  <c r="CW7" i="7" s="1"/>
  <c r="CZ7" i="7" s="1"/>
  <c r="DC7" i="7" s="1"/>
  <c r="DF7" i="7" s="1"/>
  <c r="DI7" i="7" s="1"/>
  <c r="DL7" i="7" s="1"/>
  <c r="DO7" i="7" s="1"/>
  <c r="DR7" i="7" s="1"/>
  <c r="DU7" i="7" s="1"/>
  <c r="DX7" i="7" s="1"/>
  <c r="O7" i="7"/>
  <c r="R7" i="7" s="1"/>
  <c r="N10" i="7"/>
  <c r="Q10" i="7" s="1"/>
  <c r="T10" i="7" s="1"/>
  <c r="W10" i="7" s="1"/>
  <c r="Z10" i="7" s="1"/>
  <c r="AC10" i="7" s="1"/>
  <c r="AF10" i="7" s="1"/>
  <c r="AI10" i="7" s="1"/>
  <c r="AL10" i="7" s="1"/>
  <c r="AO10" i="7" s="1"/>
  <c r="AR10" i="7" s="1"/>
  <c r="AU10" i="7" s="1"/>
  <c r="AX10" i="7" s="1"/>
  <c r="BA10" i="7" s="1"/>
  <c r="BD10" i="7" s="1"/>
  <c r="BG10" i="7" s="1"/>
  <c r="BJ10" i="7" s="1"/>
  <c r="BM10" i="7" s="1"/>
  <c r="BP10" i="7" s="1"/>
  <c r="BS10" i="7" s="1"/>
  <c r="BV10" i="7" s="1"/>
  <c r="BY10" i="7" s="1"/>
  <c r="CB10" i="7" s="1"/>
  <c r="CE10" i="7" s="1"/>
  <c r="CH10" i="7" s="1"/>
  <c r="CK10" i="7" s="1"/>
  <c r="CN10" i="7" s="1"/>
  <c r="CQ10" i="7" s="1"/>
  <c r="CT10" i="7" s="1"/>
  <c r="CW10" i="7" s="1"/>
  <c r="CZ10" i="7" s="1"/>
  <c r="DC10" i="7" s="1"/>
  <c r="DF10" i="7" s="1"/>
  <c r="DI10" i="7" s="1"/>
  <c r="DL10" i="7" s="1"/>
  <c r="DO10" i="7" s="1"/>
  <c r="DR10" i="7" s="1"/>
  <c r="DU10" i="7" s="1"/>
  <c r="DX10" i="7" s="1"/>
  <c r="K4" i="7"/>
  <c r="N4" i="7" s="1"/>
  <c r="BM4" i="7"/>
  <c r="BP4" i="7" s="1"/>
  <c r="BS4" i="7" s="1"/>
  <c r="BV4" i="7" s="1"/>
  <c r="BY4" i="7" s="1"/>
  <c r="CB4" i="7" s="1"/>
  <c r="CE4" i="7" s="1"/>
  <c r="CH4" i="7" s="1"/>
  <c r="CK4" i="7" s="1"/>
  <c r="CN4" i="7" s="1"/>
  <c r="CQ4" i="7" s="1"/>
  <c r="CT4" i="7" s="1"/>
  <c r="CW4" i="7" s="1"/>
  <c r="CZ4" i="7" s="1"/>
  <c r="DC4" i="7" s="1"/>
  <c r="DF4" i="7" s="1"/>
  <c r="DI4" i="7" s="1"/>
  <c r="DL4" i="7" s="1"/>
  <c r="DO4" i="7" s="1"/>
  <c r="DR4" i="7" s="1"/>
  <c r="DU4" i="7" s="1"/>
  <c r="DX4" i="7" s="1"/>
  <c r="K5" i="7"/>
  <c r="N5" i="7" s="1"/>
  <c r="Q5" i="7" s="1"/>
  <c r="T5" i="7" s="1"/>
  <c r="W5" i="7" s="1"/>
  <c r="Z5" i="7" s="1"/>
  <c r="AC5" i="7" s="1"/>
  <c r="AF5" i="7" s="1"/>
  <c r="AI5" i="7" s="1"/>
  <c r="AL5" i="7" s="1"/>
  <c r="AO5" i="7" s="1"/>
  <c r="AR5" i="7" s="1"/>
  <c r="AU5" i="7" s="1"/>
  <c r="AX5" i="7" s="1"/>
  <c r="BA5" i="7" s="1"/>
  <c r="BD5" i="7" s="1"/>
  <c r="BG5" i="7" s="1"/>
  <c r="BJ5" i="7" s="1"/>
  <c r="BM5" i="7" s="1"/>
  <c r="BP5" i="7" s="1"/>
  <c r="BS5" i="7" s="1"/>
  <c r="BV5" i="7" s="1"/>
  <c r="BY5" i="7" s="1"/>
  <c r="CB5" i="7" s="1"/>
  <c r="CE5" i="7" s="1"/>
  <c r="CH5" i="7" s="1"/>
  <c r="CK5" i="7" s="1"/>
  <c r="CN5" i="7" s="1"/>
  <c r="CQ5" i="7" s="1"/>
  <c r="CT5" i="7" s="1"/>
  <c r="CW5" i="7" s="1"/>
  <c r="CZ5" i="7" s="1"/>
  <c r="DC5" i="7" s="1"/>
  <c r="DF5" i="7" s="1"/>
  <c r="DI5" i="7" s="1"/>
  <c r="DL5" i="7" s="1"/>
  <c r="DO5" i="7" s="1"/>
  <c r="DR5" i="7" s="1"/>
  <c r="DU5" i="7" s="1"/>
  <c r="DX5" i="7" s="1"/>
  <c r="K6" i="7"/>
  <c r="N6" i="7" s="1"/>
  <c r="Q6" i="7" s="1"/>
  <c r="T6" i="7" s="1"/>
  <c r="W6" i="7" s="1"/>
  <c r="Z6" i="7" s="1"/>
  <c r="AC6" i="7" s="1"/>
  <c r="AF6" i="7" s="1"/>
  <c r="AI6" i="7" s="1"/>
  <c r="AL6" i="7" s="1"/>
  <c r="AO6" i="7" s="1"/>
  <c r="AR6" i="7" s="1"/>
  <c r="AU6" i="7" s="1"/>
  <c r="AX6" i="7" s="1"/>
  <c r="BA6" i="7" s="1"/>
  <c r="BD6" i="7" s="1"/>
  <c r="BG6" i="7" s="1"/>
  <c r="BJ6" i="7" s="1"/>
  <c r="BM6" i="7" s="1"/>
  <c r="BP6" i="7" s="1"/>
  <c r="BS6" i="7" s="1"/>
  <c r="BV6" i="7" s="1"/>
  <c r="BY6" i="7" s="1"/>
  <c r="CB6" i="7" s="1"/>
  <c r="CE6" i="7" s="1"/>
  <c r="CH6" i="7" s="1"/>
  <c r="CK6" i="7" s="1"/>
  <c r="CN6" i="7" s="1"/>
  <c r="CQ6" i="7" s="1"/>
  <c r="CT6" i="7" s="1"/>
  <c r="CW6" i="7" s="1"/>
  <c r="CZ6" i="7" s="1"/>
  <c r="DC6" i="7" s="1"/>
  <c r="DF6" i="7" s="1"/>
  <c r="DI6" i="7" s="1"/>
  <c r="DL6" i="7" s="1"/>
  <c r="DO6" i="7" s="1"/>
  <c r="DR6" i="7" s="1"/>
  <c r="DU6" i="7" s="1"/>
  <c r="DX6" i="7" s="1"/>
  <c r="Q9" i="7" l="1"/>
  <c r="T9" i="7" s="1"/>
  <c r="W9" i="7" s="1"/>
  <c r="Z9" i="7" s="1"/>
  <c r="AC9" i="7" s="1"/>
  <c r="AF9" i="7" s="1"/>
  <c r="AI9" i="7" s="1"/>
  <c r="AL9" i="7" s="1"/>
  <c r="AO9" i="7" s="1"/>
  <c r="AR9" i="7" s="1"/>
  <c r="AU9" i="7" s="1"/>
  <c r="AX9" i="7" s="1"/>
  <c r="BA9" i="7" s="1"/>
  <c r="BD9" i="7" s="1"/>
  <c r="BG9" i="7" s="1"/>
  <c r="BJ9" i="7" s="1"/>
  <c r="BM9" i="7" s="1"/>
  <c r="BP9" i="7" s="1"/>
  <c r="BS9" i="7" s="1"/>
  <c r="BV9" i="7" s="1"/>
  <c r="BY9" i="7" s="1"/>
  <c r="CB9" i="7" s="1"/>
  <c r="CE9" i="7" s="1"/>
  <c r="CH9" i="7" s="1"/>
  <c r="CK9" i="7" s="1"/>
  <c r="CN9" i="7" s="1"/>
  <c r="CQ9" i="7" s="1"/>
  <c r="CT9" i="7" s="1"/>
  <c r="CW9" i="7" s="1"/>
  <c r="CZ9" i="7" s="1"/>
  <c r="DC9" i="7" s="1"/>
  <c r="DF9" i="7" s="1"/>
  <c r="DI9" i="7" s="1"/>
  <c r="DL9" i="7" s="1"/>
  <c r="DO9" i="7" s="1"/>
  <c r="DR9" i="7" s="1"/>
  <c r="DU9" i="7" s="1"/>
  <c r="DX9" i="7" s="1"/>
  <c r="O9" i="7"/>
  <c r="U8" i="7"/>
  <c r="U7" i="7"/>
  <c r="O10" i="7"/>
  <c r="R10" i="7" s="1"/>
  <c r="L4" i="7"/>
  <c r="L5" i="7"/>
  <c r="L6" i="7"/>
  <c r="O6" i="7" s="1"/>
  <c r="R6" i="7" s="1"/>
  <c r="U6" i="7" s="1"/>
  <c r="O4" i="7"/>
  <c r="O5" i="7"/>
  <c r="Q4" i="7"/>
  <c r="E2" i="6"/>
  <c r="B11" i="9"/>
  <c r="B12" i="9"/>
  <c r="B13" i="9"/>
  <c r="B14" i="9"/>
  <c r="B15" i="9"/>
  <c r="B16" i="9"/>
  <c r="B17" i="9"/>
  <c r="B18" i="9"/>
  <c r="B19" i="9"/>
  <c r="B20" i="9"/>
  <c r="B21" i="9"/>
  <c r="B22" i="9"/>
  <c r="B23" i="9"/>
  <c r="B24" i="9"/>
  <c r="B25" i="9"/>
  <c r="B10" i="9"/>
  <c r="B4" i="9"/>
  <c r="B5" i="9"/>
  <c r="B6" i="9"/>
  <c r="B3" i="9"/>
  <c r="G24" i="6"/>
  <c r="G23" i="6"/>
  <c r="G22" i="6"/>
  <c r="G21" i="6"/>
  <c r="G20" i="6"/>
  <c r="G19" i="6"/>
  <c r="D3" i="6"/>
  <c r="I6" i="6" s="1"/>
  <c r="J1" i="7"/>
  <c r="M1" i="7" s="1"/>
  <c r="F20" i="8" s="1"/>
  <c r="F23" i="8" s="1"/>
  <c r="O12" i="7"/>
  <c r="R12" i="7" s="1"/>
  <c r="U12" i="7" s="1"/>
  <c r="X12" i="7" s="1"/>
  <c r="AA12" i="7" s="1"/>
  <c r="AD12" i="7" s="1"/>
  <c r="AG12" i="7" s="1"/>
  <c r="AJ12" i="7" s="1"/>
  <c r="AM12" i="7" s="1"/>
  <c r="AP12" i="7" s="1"/>
  <c r="AS12" i="7" s="1"/>
  <c r="AV12" i="7" s="1"/>
  <c r="AY12" i="7" s="1"/>
  <c r="BB12" i="7" s="1"/>
  <c r="BE12" i="7" s="1"/>
  <c r="BH12" i="7" s="1"/>
  <c r="BK12" i="7" s="1"/>
  <c r="BN12" i="7" s="1"/>
  <c r="BQ12" i="7" s="1"/>
  <c r="BT12" i="7" s="1"/>
  <c r="BW12" i="7" s="1"/>
  <c r="BZ12" i="7" s="1"/>
  <c r="CC12" i="7" s="1"/>
  <c r="CF12" i="7" s="1"/>
  <c r="CI12" i="7" s="1"/>
  <c r="CL12" i="7" s="1"/>
  <c r="CO12" i="7" s="1"/>
  <c r="CR12" i="7" s="1"/>
  <c r="CU12" i="7" s="1"/>
  <c r="CX12" i="7" s="1"/>
  <c r="DA12" i="7" s="1"/>
  <c r="DD12" i="7" s="1"/>
  <c r="DG12" i="7" s="1"/>
  <c r="DJ12" i="7" s="1"/>
  <c r="DM12" i="7" s="1"/>
  <c r="DP12" i="7" s="1"/>
  <c r="DS12" i="7" s="1"/>
  <c r="DV12" i="7" s="1"/>
  <c r="DY12" i="7" s="1"/>
  <c r="Y16" i="7"/>
  <c r="AB16" i="7"/>
  <c r="AE16" i="7"/>
  <c r="AH16" i="7"/>
  <c r="AK16" i="7"/>
  <c r="AN16" i="7"/>
  <c r="AQ16" i="7"/>
  <c r="AT16" i="7"/>
  <c r="AW16" i="7"/>
  <c r="AZ16" i="7"/>
  <c r="BC16" i="7"/>
  <c r="BF16" i="7"/>
  <c r="BI16" i="7"/>
  <c r="BL16" i="7"/>
  <c r="BO16" i="7"/>
  <c r="BR16" i="7"/>
  <c r="BU16" i="7"/>
  <c r="BX16" i="7"/>
  <c r="CA16" i="7"/>
  <c r="CD16" i="7"/>
  <c r="CG16" i="7"/>
  <c r="CJ16" i="7"/>
  <c r="CM16" i="7"/>
  <c r="CP16" i="7"/>
  <c r="CS16" i="7"/>
  <c r="J16" i="7"/>
  <c r="A19" i="8"/>
  <c r="EA11" i="7"/>
  <c r="I16" i="7"/>
  <c r="M16" i="7"/>
  <c r="P16" i="7"/>
  <c r="S16" i="7"/>
  <c r="V16" i="7"/>
  <c r="CV16" i="7"/>
  <c r="CY16" i="7"/>
  <c r="DB16" i="7"/>
  <c r="DE16" i="7"/>
  <c r="DH16" i="7"/>
  <c r="DK16" i="7"/>
  <c r="DN16" i="7"/>
  <c r="DQ16" i="7"/>
  <c r="DT16" i="7"/>
  <c r="DW16" i="7"/>
  <c r="R9" i="7" l="1"/>
  <c r="X8" i="7"/>
  <c r="AA8" i="7"/>
  <c r="G8" i="7" s="1"/>
  <c r="X7" i="7"/>
  <c r="U10" i="7"/>
  <c r="R4" i="7"/>
  <c r="T4" i="7"/>
  <c r="R5" i="7"/>
  <c r="U5" i="7" s="1"/>
  <c r="X5" i="7" s="1"/>
  <c r="X6" i="7"/>
  <c r="E20" i="8"/>
  <c r="E23" i="8" s="1"/>
  <c r="E24" i="8" s="1"/>
  <c r="E27" i="8" s="1"/>
  <c r="I15" i="6"/>
  <c r="I19" i="6"/>
  <c r="I24" i="6"/>
  <c r="I17" i="6"/>
  <c r="I21" i="6"/>
  <c r="I13" i="6"/>
  <c r="I16" i="6"/>
  <c r="I20" i="6"/>
  <c r="I22" i="6"/>
  <c r="P6" i="6"/>
  <c r="P14" i="6" s="1"/>
  <c r="I18" i="6"/>
  <c r="I23" i="6"/>
  <c r="J6" i="6"/>
  <c r="J16" i="6" s="1"/>
  <c r="P1" i="7"/>
  <c r="B7" i="9"/>
  <c r="B26" i="9"/>
  <c r="C18" i="9" s="1"/>
  <c r="K16" i="7"/>
  <c r="D2" i="6"/>
  <c r="I14" i="6"/>
  <c r="AA9" i="7" l="1"/>
  <c r="G9" i="7" s="1"/>
  <c r="U9" i="7"/>
  <c r="X9" i="7" s="1"/>
  <c r="AD8" i="7"/>
  <c r="AA7" i="7"/>
  <c r="X10" i="7"/>
  <c r="AA10" i="7" s="1"/>
  <c r="G10" i="7" s="1"/>
  <c r="W4" i="7"/>
  <c r="Z4" i="7" s="1"/>
  <c r="AC4" i="7" s="1"/>
  <c r="AF4" i="7" s="1"/>
  <c r="AI4" i="7" s="1"/>
  <c r="AL4" i="7" s="1"/>
  <c r="AO4" i="7" s="1"/>
  <c r="AR4" i="7" s="1"/>
  <c r="AU4" i="7" s="1"/>
  <c r="AX4" i="7" s="1"/>
  <c r="BA4" i="7" s="1"/>
  <c r="BD4" i="7" s="1"/>
  <c r="BG4" i="7" s="1"/>
  <c r="AA5" i="7"/>
  <c r="U4" i="7"/>
  <c r="AA6" i="7"/>
  <c r="E22" i="8"/>
  <c r="E25" i="8" s="1"/>
  <c r="J15" i="6"/>
  <c r="J14" i="6"/>
  <c r="F24" i="8"/>
  <c r="F27" i="8" s="1"/>
  <c r="J13" i="6"/>
  <c r="E31" i="8"/>
  <c r="P16" i="6"/>
  <c r="P18" i="6"/>
  <c r="P19" i="6"/>
  <c r="P20" i="6"/>
  <c r="P22" i="6"/>
  <c r="P23" i="6"/>
  <c r="Q6" i="6"/>
  <c r="P15" i="6"/>
  <c r="P17" i="6"/>
  <c r="P24" i="6"/>
  <c r="P21" i="6"/>
  <c r="W6" i="6"/>
  <c r="J19" i="6"/>
  <c r="K6" i="6"/>
  <c r="J17" i="6"/>
  <c r="J24" i="6"/>
  <c r="J18" i="6"/>
  <c r="J22" i="6"/>
  <c r="J20" i="6"/>
  <c r="J23" i="6"/>
  <c r="J21" i="6"/>
  <c r="C21" i="9"/>
  <c r="C19" i="9"/>
  <c r="C25" i="9"/>
  <c r="C14" i="9"/>
  <c r="C10" i="9"/>
  <c r="C26" i="9" s="1"/>
  <c r="C15" i="9"/>
  <c r="C20" i="9"/>
  <c r="C11" i="9"/>
  <c r="C17" i="9"/>
  <c r="C12" i="9"/>
  <c r="C23" i="9"/>
  <c r="C13" i="9"/>
  <c r="C24" i="9"/>
  <c r="C3" i="9"/>
  <c r="C7" i="9" s="1"/>
  <c r="C6" i="9"/>
  <c r="C4" i="9"/>
  <c r="S1" i="7"/>
  <c r="G20" i="8"/>
  <c r="C16" i="9"/>
  <c r="C22" i="9"/>
  <c r="C5" i="9"/>
  <c r="E36" i="8"/>
  <c r="E37" i="8"/>
  <c r="F22" i="8"/>
  <c r="E35" i="8"/>
  <c r="N16" i="7"/>
  <c r="AD9" i="7" l="1"/>
  <c r="AG8" i="7"/>
  <c r="G7" i="7"/>
  <c r="AD7" i="7"/>
  <c r="AD10" i="7"/>
  <c r="E28" i="8"/>
  <c r="X4" i="7"/>
  <c r="AA4" i="7" s="1"/>
  <c r="AD5" i="7"/>
  <c r="AD6" i="7"/>
  <c r="G16" i="6"/>
  <c r="G17" i="6"/>
  <c r="G15" i="6"/>
  <c r="F28" i="8"/>
  <c r="G18" i="6"/>
  <c r="F25" i="8"/>
  <c r="Q18" i="6"/>
  <c r="Q16" i="6"/>
  <c r="Q21" i="6"/>
  <c r="Q15" i="6"/>
  <c r="Q19" i="6"/>
  <c r="Q20" i="6"/>
  <c r="Q23" i="6"/>
  <c r="Q17" i="6"/>
  <c r="R6" i="6"/>
  <c r="Q22" i="6"/>
  <c r="Q24" i="6"/>
  <c r="Q14" i="6"/>
  <c r="K19" i="6"/>
  <c r="K21" i="6"/>
  <c r="K23" i="6"/>
  <c r="K22" i="6"/>
  <c r="K15" i="6"/>
  <c r="K17" i="6"/>
  <c r="K16" i="6"/>
  <c r="K20" i="6"/>
  <c r="L6" i="6"/>
  <c r="K24" i="6"/>
  <c r="K18" i="6"/>
  <c r="K13" i="6"/>
  <c r="K14" i="6"/>
  <c r="W20" i="6"/>
  <c r="X6" i="6"/>
  <c r="W17" i="6"/>
  <c r="W24" i="6"/>
  <c r="W21" i="6"/>
  <c r="AD6" i="6"/>
  <c r="W18" i="6"/>
  <c r="W23" i="6"/>
  <c r="W22" i="6"/>
  <c r="W19" i="6"/>
  <c r="W15" i="6"/>
  <c r="W16" i="6"/>
  <c r="G23" i="8"/>
  <c r="G24" i="8" s="1"/>
  <c r="G27" i="8" s="1"/>
  <c r="H20" i="8"/>
  <c r="V1" i="7"/>
  <c r="G22" i="8"/>
  <c r="F37" i="8"/>
  <c r="F36" i="8"/>
  <c r="F35" i="8"/>
  <c r="F31" i="8"/>
  <c r="Q16" i="7"/>
  <c r="AG9" i="7" l="1"/>
  <c r="AJ8" i="7"/>
  <c r="AG7" i="7"/>
  <c r="AG10" i="7"/>
  <c r="AJ10" i="7" s="1"/>
  <c r="AM10" i="7" s="1"/>
  <c r="AP10" i="7" s="1"/>
  <c r="AS10" i="7" s="1"/>
  <c r="AV10" i="7" s="1"/>
  <c r="AY10" i="7" s="1"/>
  <c r="BB10" i="7" s="1"/>
  <c r="BE10" i="7" s="1"/>
  <c r="BH10" i="7" s="1"/>
  <c r="BK10" i="7" s="1"/>
  <c r="BN10" i="7" s="1"/>
  <c r="BQ10" i="7" s="1"/>
  <c r="BT10" i="7" s="1"/>
  <c r="BW10" i="7" s="1"/>
  <c r="BZ10" i="7" s="1"/>
  <c r="CC10" i="7" s="1"/>
  <c r="CF10" i="7" s="1"/>
  <c r="CI10" i="7" s="1"/>
  <c r="CL10" i="7" s="1"/>
  <c r="CO10" i="7" s="1"/>
  <c r="CR10" i="7" s="1"/>
  <c r="AG5" i="7"/>
  <c r="AD4" i="7"/>
  <c r="AG4" i="7" s="1"/>
  <c r="AG6" i="7"/>
  <c r="G28" i="8"/>
  <c r="G25" i="8"/>
  <c r="AD18" i="6"/>
  <c r="AD22" i="6"/>
  <c r="AD19" i="6"/>
  <c r="AD23" i="6"/>
  <c r="AD20" i="6"/>
  <c r="AD17" i="6"/>
  <c r="AE6" i="6"/>
  <c r="AD24" i="6"/>
  <c r="AD15" i="6"/>
  <c r="AD21" i="6"/>
  <c r="AD14" i="6"/>
  <c r="AD13" i="6"/>
  <c r="X21" i="6"/>
  <c r="X20" i="6"/>
  <c r="X19" i="6"/>
  <c r="X16" i="6"/>
  <c r="X23" i="6"/>
  <c r="X15" i="6"/>
  <c r="X24" i="6"/>
  <c r="Y6" i="6"/>
  <c r="X17" i="6"/>
  <c r="X22" i="6"/>
  <c r="X18" i="6"/>
  <c r="X14" i="6"/>
  <c r="R15" i="6"/>
  <c r="R24" i="6"/>
  <c r="R17" i="6"/>
  <c r="R23" i="6"/>
  <c r="S6" i="6"/>
  <c r="R19" i="6"/>
  <c r="R20" i="6"/>
  <c r="R16" i="6"/>
  <c r="R21" i="6"/>
  <c r="R18" i="6"/>
  <c r="R22" i="6"/>
  <c r="R14" i="6"/>
  <c r="L21" i="6"/>
  <c r="L22" i="6"/>
  <c r="M6" i="6"/>
  <c r="L23" i="6"/>
  <c r="L15" i="6"/>
  <c r="L24" i="6"/>
  <c r="L20" i="6"/>
  <c r="L18" i="6"/>
  <c r="L16" i="6"/>
  <c r="L17" i="6"/>
  <c r="L19" i="6"/>
  <c r="L13" i="6"/>
  <c r="L14" i="6"/>
  <c r="Y1" i="7"/>
  <c r="I20" i="8"/>
  <c r="H23" i="8"/>
  <c r="H24" i="8" s="1"/>
  <c r="H27" i="8" s="1"/>
  <c r="G37" i="8"/>
  <c r="G35" i="8"/>
  <c r="G36" i="8"/>
  <c r="H22" i="8"/>
  <c r="T16" i="7"/>
  <c r="G31" i="8"/>
  <c r="AJ9" i="7" l="1"/>
  <c r="AM8" i="7"/>
  <c r="AJ7" i="7"/>
  <c r="CU10" i="7"/>
  <c r="CX10" i="7" s="1"/>
  <c r="DA10" i="7" s="1"/>
  <c r="DD10" i="7" s="1"/>
  <c r="DG10" i="7" s="1"/>
  <c r="AJ5" i="7"/>
  <c r="AJ6" i="7"/>
  <c r="AJ4" i="7"/>
  <c r="H28" i="8"/>
  <c r="M22" i="6"/>
  <c r="M15" i="6"/>
  <c r="M24" i="6"/>
  <c r="M17" i="6"/>
  <c r="M18" i="6"/>
  <c r="M21" i="6"/>
  <c r="M20" i="6"/>
  <c r="M23" i="6"/>
  <c r="M19" i="6"/>
  <c r="M16" i="6"/>
  <c r="N6" i="6"/>
  <c r="O6" i="6" s="1"/>
  <c r="M13" i="6"/>
  <c r="M14" i="6"/>
  <c r="S15" i="6"/>
  <c r="S17" i="6"/>
  <c r="S16" i="6"/>
  <c r="S23" i="6"/>
  <c r="T6" i="6"/>
  <c r="S21" i="6"/>
  <c r="S24" i="6"/>
  <c r="S22" i="6"/>
  <c r="S20" i="6"/>
  <c r="S19" i="6"/>
  <c r="S18" i="6"/>
  <c r="S14" i="6"/>
  <c r="Y15" i="6"/>
  <c r="Y23" i="6"/>
  <c r="Y20" i="6"/>
  <c r="Y19" i="6"/>
  <c r="Y17" i="6"/>
  <c r="Y22" i="6"/>
  <c r="Y24" i="6"/>
  <c r="Y16" i="6"/>
  <c r="Y18" i="6"/>
  <c r="Y21" i="6"/>
  <c r="Z6" i="6"/>
  <c r="Y14" i="6"/>
  <c r="AE18" i="6"/>
  <c r="AE19" i="6"/>
  <c r="AE23" i="6"/>
  <c r="AE20" i="6"/>
  <c r="AE22" i="6"/>
  <c r="AE24" i="6"/>
  <c r="AE21" i="6"/>
  <c r="AF6" i="6"/>
  <c r="AE17" i="6"/>
  <c r="AE13" i="6"/>
  <c r="AE14" i="6"/>
  <c r="I23" i="8"/>
  <c r="I24" i="8" s="1"/>
  <c r="I27" i="8" s="1"/>
  <c r="AB1" i="7"/>
  <c r="J20" i="8"/>
  <c r="H25" i="8"/>
  <c r="I35" i="8"/>
  <c r="H36" i="8"/>
  <c r="H35" i="8"/>
  <c r="W16" i="7"/>
  <c r="I22" i="8"/>
  <c r="I36" i="8"/>
  <c r="I31" i="8"/>
  <c r="H31" i="8"/>
  <c r="H37" i="8"/>
  <c r="I37" i="8"/>
  <c r="AM9" i="7" l="1"/>
  <c r="AP9" i="7" s="1"/>
  <c r="AS9" i="7" s="1"/>
  <c r="AV9" i="7" s="1"/>
  <c r="AY9" i="7" s="1"/>
  <c r="BB9" i="7" s="1"/>
  <c r="BE9" i="7" s="1"/>
  <c r="BH9" i="7" s="1"/>
  <c r="BK9" i="7" s="1"/>
  <c r="BN9" i="7" s="1"/>
  <c r="BQ9" i="7" s="1"/>
  <c r="BT9" i="7" s="1"/>
  <c r="BW9" i="7" s="1"/>
  <c r="BZ9" i="7" s="1"/>
  <c r="CC9" i="7" s="1"/>
  <c r="CF9" i="7" s="1"/>
  <c r="CI9" i="7" s="1"/>
  <c r="CL9" i="7" s="1"/>
  <c r="CO9" i="7" s="1"/>
  <c r="CR9" i="7" s="1"/>
  <c r="CU9" i="7" s="1"/>
  <c r="CX9" i="7" s="1"/>
  <c r="DA9" i="7" s="1"/>
  <c r="DD9" i="7" s="1"/>
  <c r="DG9" i="7" s="1"/>
  <c r="AP8" i="7"/>
  <c r="AS8" i="7" s="1"/>
  <c r="AV8" i="7" s="1"/>
  <c r="AY8" i="7" s="1"/>
  <c r="BB8" i="7" s="1"/>
  <c r="BE8" i="7" s="1"/>
  <c r="BH8" i="7" s="1"/>
  <c r="BK8" i="7" s="1"/>
  <c r="BN8" i="7" s="1"/>
  <c r="BQ8" i="7" s="1"/>
  <c r="BT8" i="7" s="1"/>
  <c r="BW8" i="7" s="1"/>
  <c r="BZ8" i="7" s="1"/>
  <c r="CC8" i="7" s="1"/>
  <c r="CF8" i="7" s="1"/>
  <c r="CI8" i="7" s="1"/>
  <c r="CL8" i="7" s="1"/>
  <c r="CO8" i="7" s="1"/>
  <c r="CR8" i="7" s="1"/>
  <c r="CU8" i="7" s="1"/>
  <c r="CX8" i="7" s="1"/>
  <c r="DA8" i="7" s="1"/>
  <c r="DD8" i="7" s="1"/>
  <c r="DG8" i="7" s="1"/>
  <c r="EA8" i="7" s="1"/>
  <c r="AM7" i="7"/>
  <c r="AP7" i="7" s="1"/>
  <c r="AS7" i="7" s="1"/>
  <c r="AV7" i="7" s="1"/>
  <c r="AY7" i="7" s="1"/>
  <c r="DJ10" i="7"/>
  <c r="DM10" i="7" s="1"/>
  <c r="DP10" i="7" s="1"/>
  <c r="DS10" i="7" s="1"/>
  <c r="DV10" i="7" s="1"/>
  <c r="DY10" i="7" s="1"/>
  <c r="EA10" i="7"/>
  <c r="AM4" i="7"/>
  <c r="AM5" i="7"/>
  <c r="AM6" i="7"/>
  <c r="I28" i="8"/>
  <c r="T17" i="6"/>
  <c r="T20" i="6"/>
  <c r="T24" i="6"/>
  <c r="T21" i="6"/>
  <c r="T18" i="6"/>
  <c r="T22" i="6"/>
  <c r="T19" i="6"/>
  <c r="T23" i="6"/>
  <c r="T16" i="6"/>
  <c r="T14" i="6"/>
  <c r="T15" i="6"/>
  <c r="AF17" i="6"/>
  <c r="AF20" i="6"/>
  <c r="AF24" i="6"/>
  <c r="AF23" i="6"/>
  <c r="AF19" i="6"/>
  <c r="AG6" i="6"/>
  <c r="AF22" i="6"/>
  <c r="AF21" i="6"/>
  <c r="AF18" i="6"/>
  <c r="AF13" i="6"/>
  <c r="AF14" i="6"/>
  <c r="U6" i="6"/>
  <c r="V6" i="6" s="1"/>
  <c r="Z20" i="6"/>
  <c r="Z17" i="6"/>
  <c r="Z16" i="6"/>
  <c r="Z24" i="6"/>
  <c r="Z15" i="6"/>
  <c r="Z19" i="6"/>
  <c r="Z18" i="6"/>
  <c r="Z23" i="6"/>
  <c r="Z21" i="6"/>
  <c r="AA6" i="6"/>
  <c r="Z22" i="6"/>
  <c r="Z14" i="6"/>
  <c r="J23" i="8"/>
  <c r="J24" i="8" s="1"/>
  <c r="J27" i="8" s="1"/>
  <c r="K20" i="8"/>
  <c r="AE1" i="7"/>
  <c r="Z16" i="7"/>
  <c r="J22" i="8"/>
  <c r="I25" i="8"/>
  <c r="DJ9" i="7" l="1"/>
  <c r="DM9" i="7" s="1"/>
  <c r="DP9" i="7" s="1"/>
  <c r="DS9" i="7" s="1"/>
  <c r="DV9" i="7" s="1"/>
  <c r="DY9" i="7" s="1"/>
  <c r="EA9" i="7"/>
  <c r="DJ8" i="7"/>
  <c r="DM8" i="7" s="1"/>
  <c r="DP8" i="7" s="1"/>
  <c r="DS8" i="7" s="1"/>
  <c r="DV8" i="7" s="1"/>
  <c r="DY8" i="7" s="1"/>
  <c r="BB7" i="7"/>
  <c r="BE7" i="7" s="1"/>
  <c r="BH7" i="7" s="1"/>
  <c r="BK7" i="7" s="1"/>
  <c r="BN7" i="7" s="1"/>
  <c r="BQ7" i="7" s="1"/>
  <c r="BT7" i="7" s="1"/>
  <c r="BW7" i="7" s="1"/>
  <c r="BZ7" i="7" s="1"/>
  <c r="CC7" i="7" s="1"/>
  <c r="CF7" i="7" s="1"/>
  <c r="CI7" i="7" s="1"/>
  <c r="CL7" i="7" s="1"/>
  <c r="CO7" i="7" s="1"/>
  <c r="CR7" i="7" s="1"/>
  <c r="CU7" i="7" s="1"/>
  <c r="CX7" i="7" s="1"/>
  <c r="DA7" i="7" s="1"/>
  <c r="DD7" i="7" s="1"/>
  <c r="DG7" i="7" s="1"/>
  <c r="AP4" i="7"/>
  <c r="AS4" i="7" s="1"/>
  <c r="AV4" i="7" s="1"/>
  <c r="AP6" i="7"/>
  <c r="AS6" i="7" s="1"/>
  <c r="AV6" i="7" s="1"/>
  <c r="AY6" i="7" s="1"/>
  <c r="BB6" i="7" s="1"/>
  <c r="BE6" i="7" s="1"/>
  <c r="BH6" i="7" s="1"/>
  <c r="BK6" i="7" s="1"/>
  <c r="BN6" i="7" s="1"/>
  <c r="BQ6" i="7" s="1"/>
  <c r="BT6" i="7" s="1"/>
  <c r="BW6" i="7" s="1"/>
  <c r="BZ6" i="7" s="1"/>
  <c r="CC6" i="7" s="1"/>
  <c r="CF6" i="7" s="1"/>
  <c r="CI6" i="7" s="1"/>
  <c r="CL6" i="7" s="1"/>
  <c r="CO6" i="7" s="1"/>
  <c r="CR6" i="7" s="1"/>
  <c r="CU6" i="7" s="1"/>
  <c r="AP5" i="7"/>
  <c r="AS5" i="7" s="1"/>
  <c r="J28" i="8"/>
  <c r="AA23" i="6"/>
  <c r="AA17" i="6"/>
  <c r="AA15" i="6"/>
  <c r="AB6" i="6"/>
  <c r="AC6" i="6" s="1"/>
  <c r="AA20" i="6"/>
  <c r="AA21" i="6"/>
  <c r="AA22" i="6"/>
  <c r="AA16" i="6"/>
  <c r="AA18" i="6"/>
  <c r="AA19" i="6"/>
  <c r="AA24" i="6"/>
  <c r="AA14" i="6"/>
  <c r="AG23" i="6"/>
  <c r="AG21" i="6"/>
  <c r="AG19" i="6"/>
  <c r="AG17" i="6"/>
  <c r="AG24" i="6"/>
  <c r="AH6" i="6"/>
  <c r="AG18" i="6"/>
  <c r="AG20" i="6"/>
  <c r="AG22" i="6"/>
  <c r="AG13" i="6"/>
  <c r="AG14" i="6"/>
  <c r="L20" i="8"/>
  <c r="AH1" i="7"/>
  <c r="K23" i="8"/>
  <c r="K24" i="8" s="1"/>
  <c r="K27" i="8" s="1"/>
  <c r="J35" i="8"/>
  <c r="J37" i="8"/>
  <c r="J31" i="8"/>
  <c r="J36" i="8"/>
  <c r="J25" i="8"/>
  <c r="AC16" i="7"/>
  <c r="K22" i="8"/>
  <c r="DJ7" i="7" l="1"/>
  <c r="DM7" i="7" s="1"/>
  <c r="DP7" i="7" s="1"/>
  <c r="DS7" i="7" s="1"/>
  <c r="DV7" i="7" s="1"/>
  <c r="DY7" i="7" s="1"/>
  <c r="EA7" i="7"/>
  <c r="AV5" i="7"/>
  <c r="AY5" i="7" s="1"/>
  <c r="BB5" i="7" s="1"/>
  <c r="AY4" i="7"/>
  <c r="BB4" i="7" s="1"/>
  <c r="BE4" i="7" s="1"/>
  <c r="BH4" i="7" s="1"/>
  <c r="BK4" i="7" s="1"/>
  <c r="BN4" i="7" s="1"/>
  <c r="BQ4" i="7" s="1"/>
  <c r="BT4" i="7" s="1"/>
  <c r="BW4" i="7" s="1"/>
  <c r="BZ4" i="7" s="1"/>
  <c r="CC4" i="7" s="1"/>
  <c r="CF4" i="7" s="1"/>
  <c r="CI4" i="7" s="1"/>
  <c r="CL4" i="7" s="1"/>
  <c r="CO4" i="7" s="1"/>
  <c r="CR4" i="7" s="1"/>
  <c r="CU4" i="7" s="1"/>
  <c r="G4" i="7" s="1"/>
  <c r="G6" i="7"/>
  <c r="CX6" i="7"/>
  <c r="DA6" i="7" s="1"/>
  <c r="DD6" i="7" s="1"/>
  <c r="DG6" i="7" s="1"/>
  <c r="K28" i="8"/>
  <c r="AH24" i="6"/>
  <c r="AK24" i="6" s="1"/>
  <c r="AK16" i="6"/>
  <c r="AH22" i="6"/>
  <c r="AK22" i="6" s="1"/>
  <c r="AI6" i="6"/>
  <c r="AJ6" i="6" s="1"/>
  <c r="AH18" i="6"/>
  <c r="AK18" i="6" s="1"/>
  <c r="AH23" i="6"/>
  <c r="AK23" i="6" s="1"/>
  <c r="AH21" i="6"/>
  <c r="AK21" i="6" s="1"/>
  <c r="AH15" i="6"/>
  <c r="AK15" i="6" s="1"/>
  <c r="AH19" i="6"/>
  <c r="AK19" i="6" s="1"/>
  <c r="AH20" i="6"/>
  <c r="AK20" i="6" s="1"/>
  <c r="AH17" i="6"/>
  <c r="AK17" i="6" s="1"/>
  <c r="AH14" i="6"/>
  <c r="AK14" i="6" s="1"/>
  <c r="AH13" i="6"/>
  <c r="L23" i="8"/>
  <c r="L24" i="8" s="1"/>
  <c r="L27" i="8" s="1"/>
  <c r="M20" i="8"/>
  <c r="AK1" i="7"/>
  <c r="AF16" i="7"/>
  <c r="L22" i="8"/>
  <c r="K37" i="8"/>
  <c r="K31" i="8"/>
  <c r="K36" i="8"/>
  <c r="K35" i="8"/>
  <c r="K25" i="8"/>
  <c r="BE5" i="7" l="1"/>
  <c r="BH5" i="7" s="1"/>
  <c r="BK5" i="7" s="1"/>
  <c r="BN5" i="7" s="1"/>
  <c r="BQ5" i="7" s="1"/>
  <c r="BT5" i="7" s="1"/>
  <c r="BW5" i="7" s="1"/>
  <c r="BZ5" i="7" s="1"/>
  <c r="CC5" i="7" s="1"/>
  <c r="CF5" i="7" s="1"/>
  <c r="CI5" i="7" s="1"/>
  <c r="CL5" i="7" s="1"/>
  <c r="CO5" i="7" s="1"/>
  <c r="CR5" i="7" s="1"/>
  <c r="CU5" i="7" s="1"/>
  <c r="G5" i="7" s="1"/>
  <c r="CX4" i="7"/>
  <c r="DA4" i="7" s="1"/>
  <c r="DD4" i="7" s="1"/>
  <c r="DG4" i="7" s="1"/>
  <c r="EA6" i="7"/>
  <c r="DJ6" i="7"/>
  <c r="DM6" i="7" s="1"/>
  <c r="DP6" i="7" s="1"/>
  <c r="DS6" i="7" s="1"/>
  <c r="DV6" i="7" s="1"/>
  <c r="DY6" i="7" s="1"/>
  <c r="L28" i="8"/>
  <c r="C9" i="6"/>
  <c r="N20" i="8"/>
  <c r="AN1" i="7"/>
  <c r="M23" i="8"/>
  <c r="M24" i="8" s="1"/>
  <c r="M27" i="8" s="1"/>
  <c r="M22" i="8"/>
  <c r="AI16" i="7"/>
  <c r="L35" i="8"/>
  <c r="L36" i="8"/>
  <c r="L37" i="8"/>
  <c r="L31" i="8"/>
  <c r="L25" i="8"/>
  <c r="CX5" i="7" l="1"/>
  <c r="DA5" i="7" s="1"/>
  <c r="DD5" i="7" s="1"/>
  <c r="DG5" i="7" s="1"/>
  <c r="EA4" i="7"/>
  <c r="DJ4" i="7"/>
  <c r="DM4" i="7" s="1"/>
  <c r="DP4" i="7" s="1"/>
  <c r="DS4" i="7" s="1"/>
  <c r="DV4" i="7" s="1"/>
  <c r="DY4" i="7" s="1"/>
  <c r="M28" i="8"/>
  <c r="M35" i="8"/>
  <c r="AQ1" i="7"/>
  <c r="O20" i="8"/>
  <c r="N23" i="8"/>
  <c r="N24" i="8" s="1"/>
  <c r="N27" i="8" s="1"/>
  <c r="M31" i="8"/>
  <c r="M37" i="8"/>
  <c r="M36" i="8"/>
  <c r="N22" i="8"/>
  <c r="AL16" i="7"/>
  <c r="M25" i="8"/>
  <c r="DJ5" i="7" l="1"/>
  <c r="DM5" i="7" s="1"/>
  <c r="DP5" i="7" s="1"/>
  <c r="DS5" i="7" s="1"/>
  <c r="DV5" i="7" s="1"/>
  <c r="DY5" i="7" s="1"/>
  <c r="EA5" i="7"/>
  <c r="N28" i="8"/>
  <c r="P20" i="8"/>
  <c r="AT1" i="7"/>
  <c r="O23" i="8"/>
  <c r="O24" i="8" s="1"/>
  <c r="O27" i="8" s="1"/>
  <c r="N35" i="8"/>
  <c r="N31" i="8"/>
  <c r="N36" i="8"/>
  <c r="N37" i="8"/>
  <c r="O22" i="8"/>
  <c r="AO16" i="7"/>
  <c r="N25" i="8"/>
  <c r="O28" i="8" l="1"/>
  <c r="AW1" i="7"/>
  <c r="Q20" i="8"/>
  <c r="P23" i="8"/>
  <c r="P24" i="8" s="1"/>
  <c r="P27" i="8" s="1"/>
  <c r="O35" i="8"/>
  <c r="O37" i="8"/>
  <c r="O31" i="8"/>
  <c r="O36" i="8"/>
  <c r="O25" i="8"/>
  <c r="AR16" i="7"/>
  <c r="P22" i="8"/>
  <c r="P28" i="8" l="1"/>
  <c r="R20" i="8"/>
  <c r="AZ1" i="7"/>
  <c r="Q23" i="8"/>
  <c r="Q24" i="8" s="1"/>
  <c r="Q27" i="8" s="1"/>
  <c r="P31" i="8"/>
  <c r="P36" i="8"/>
  <c r="P35" i="8"/>
  <c r="P37" i="8"/>
  <c r="P25" i="8"/>
  <c r="Q22" i="8"/>
  <c r="AU16" i="7"/>
  <c r="Q28" i="8" l="1"/>
  <c r="S20" i="8"/>
  <c r="BC1" i="7"/>
  <c r="R23" i="8"/>
  <c r="R24" i="8" s="1"/>
  <c r="R27" i="8" s="1"/>
  <c r="Q35" i="8"/>
  <c r="Q36" i="8"/>
  <c r="Q31" i="8"/>
  <c r="Q37" i="8"/>
  <c r="R22" i="8"/>
  <c r="AX16" i="7"/>
  <c r="Q25" i="8"/>
  <c r="R28" i="8" l="1"/>
  <c r="T20" i="8"/>
  <c r="BF1" i="7"/>
  <c r="S23" i="8"/>
  <c r="S24" i="8" s="1"/>
  <c r="S27" i="8" s="1"/>
  <c r="R36" i="8"/>
  <c r="R37" i="8"/>
  <c r="R31" i="8"/>
  <c r="R35" i="8"/>
  <c r="BA16" i="7"/>
  <c r="S22" i="8"/>
  <c r="R25" i="8"/>
  <c r="S28" i="8" l="1"/>
  <c r="BI1" i="7"/>
  <c r="U20" i="8"/>
  <c r="T23" i="8"/>
  <c r="T24" i="8" s="1"/>
  <c r="T27" i="8" s="1"/>
  <c r="S25" i="8"/>
  <c r="BD16" i="7"/>
  <c r="T22" i="8"/>
  <c r="S37" i="8"/>
  <c r="S35" i="8"/>
  <c r="S36" i="8"/>
  <c r="S31" i="8"/>
  <c r="T28" i="8" l="1"/>
  <c r="U23" i="8"/>
  <c r="U24" i="8" s="1"/>
  <c r="U27" i="8" s="1"/>
  <c r="BL1" i="7"/>
  <c r="V20" i="8"/>
  <c r="T36" i="8"/>
  <c r="T35" i="8"/>
  <c r="T37" i="8"/>
  <c r="T31" i="8"/>
  <c r="U22" i="8"/>
  <c r="BG16" i="7"/>
  <c r="T25" i="8"/>
  <c r="U28" i="8" l="1"/>
  <c r="V23" i="8"/>
  <c r="V24" i="8" s="1"/>
  <c r="V27" i="8" s="1"/>
  <c r="BO1" i="7"/>
  <c r="W20" i="8"/>
  <c r="U35" i="8"/>
  <c r="U31" i="8"/>
  <c r="U36" i="8"/>
  <c r="U37" i="8"/>
  <c r="V22" i="8"/>
  <c r="BJ16" i="7"/>
  <c r="U25" i="8"/>
  <c r="V28" i="8" l="1"/>
  <c r="X20" i="8"/>
  <c r="BR1" i="7"/>
  <c r="W23" i="8"/>
  <c r="W24" i="8" s="1"/>
  <c r="W27" i="8" s="1"/>
  <c r="BM16" i="7"/>
  <c r="W22" i="8"/>
  <c r="V36" i="8"/>
  <c r="V37" i="8"/>
  <c r="V35" i="8"/>
  <c r="V31" i="8"/>
  <c r="V25" i="8"/>
  <c r="W28" i="8" l="1"/>
  <c r="BU1" i="7"/>
  <c r="Y20" i="8"/>
  <c r="X23" i="8"/>
  <c r="X24" i="8" s="1"/>
  <c r="X27" i="8" s="1"/>
  <c r="W25" i="8"/>
  <c r="W31" i="8"/>
  <c r="W37" i="8"/>
  <c r="W35" i="8"/>
  <c r="W36" i="8"/>
  <c r="BP16" i="7"/>
  <c r="X22" i="8"/>
  <c r="X28" i="8" l="1"/>
  <c r="Y23" i="8"/>
  <c r="Y24" i="8" s="1"/>
  <c r="Y27" i="8" s="1"/>
  <c r="BX1" i="7"/>
  <c r="Z20" i="8"/>
  <c r="X25" i="8"/>
  <c r="X31" i="8"/>
  <c r="X37" i="8"/>
  <c r="X36" i="8"/>
  <c r="X35" i="8"/>
  <c r="Y22" i="8"/>
  <c r="BS16" i="7"/>
  <c r="Y28" i="8" l="1"/>
  <c r="AA20" i="8"/>
  <c r="CA1" i="7"/>
  <c r="Z23" i="8"/>
  <c r="Z24" i="8" s="1"/>
  <c r="Z27" i="8" s="1"/>
  <c r="Y25" i="8"/>
  <c r="Y37" i="8"/>
  <c r="Y35" i="8"/>
  <c r="Y36" i="8"/>
  <c r="Y31" i="8"/>
  <c r="BV16" i="7"/>
  <c r="Z22" i="8"/>
  <c r="Z28" i="8" l="1"/>
  <c r="AB20" i="8"/>
  <c r="CD1" i="7"/>
  <c r="AA23" i="8"/>
  <c r="AA24" i="8" s="1"/>
  <c r="AA27" i="8" s="1"/>
  <c r="Z25" i="8"/>
  <c r="Z35" i="8"/>
  <c r="Z37" i="8"/>
  <c r="Z36" i="8"/>
  <c r="Z31" i="8"/>
  <c r="BY16" i="7"/>
  <c r="AA22" i="8"/>
  <c r="AA28" i="8" l="1"/>
  <c r="CG1" i="7"/>
  <c r="AC20" i="8"/>
  <c r="AB23" i="8"/>
  <c r="AB24" i="8" s="1"/>
  <c r="AB27" i="8" s="1"/>
  <c r="AA25" i="8"/>
  <c r="AA35" i="8"/>
  <c r="AA37" i="8"/>
  <c r="AA36" i="8"/>
  <c r="AA31" i="8"/>
  <c r="AB22" i="8"/>
  <c r="CB16" i="7"/>
  <c r="AB28" i="8" l="1"/>
  <c r="AC23" i="8"/>
  <c r="AC24" i="8" s="1"/>
  <c r="AC27" i="8" s="1"/>
  <c r="AD20" i="8"/>
  <c r="CJ1" i="7"/>
  <c r="AC22" i="8"/>
  <c r="CE16" i="7"/>
  <c r="AB31" i="8"/>
  <c r="AB36" i="8"/>
  <c r="AB37" i="8"/>
  <c r="AB35" i="8"/>
  <c r="AB25" i="8"/>
  <c r="AC28" i="8" l="1"/>
  <c r="AE20" i="8"/>
  <c r="CM1" i="7"/>
  <c r="AD23" i="8"/>
  <c r="AD24" i="8" s="1"/>
  <c r="AD27" i="8" s="1"/>
  <c r="AC25" i="8"/>
  <c r="AC36" i="8"/>
  <c r="AC35" i="8"/>
  <c r="AC31" i="8"/>
  <c r="AC37" i="8"/>
  <c r="AD22" i="8"/>
  <c r="CH16" i="7"/>
  <c r="AD28" i="8" l="1"/>
  <c r="AF20" i="8"/>
  <c r="CP1" i="7"/>
  <c r="AE23" i="8"/>
  <c r="AE24" i="8" s="1"/>
  <c r="AE27" i="8" s="1"/>
  <c r="AE22" i="8"/>
  <c r="CK16" i="7"/>
  <c r="AD31" i="8"/>
  <c r="AD37" i="8"/>
  <c r="AD35" i="8"/>
  <c r="AD36" i="8"/>
  <c r="AD25" i="8"/>
  <c r="AE28" i="8" l="1"/>
  <c r="G14" i="6"/>
  <c r="CS1" i="7"/>
  <c r="AG20" i="8"/>
  <c r="AF23" i="8"/>
  <c r="AF24" i="8" s="1"/>
  <c r="AF27" i="8" s="1"/>
  <c r="AE25" i="8"/>
  <c r="AE31" i="8"/>
  <c r="AE37" i="8"/>
  <c r="AE36" i="8"/>
  <c r="AE35" i="8"/>
  <c r="CN16" i="7"/>
  <c r="AF22" i="8"/>
  <c r="AF28" i="8" l="1"/>
  <c r="AG23" i="8"/>
  <c r="AG24" i="8" s="1"/>
  <c r="AG27" i="8" s="1"/>
  <c r="AH20" i="8"/>
  <c r="CV1" i="7"/>
  <c r="AF36" i="8"/>
  <c r="AF35" i="8"/>
  <c r="AF37" i="8"/>
  <c r="AF31" i="8"/>
  <c r="CQ16" i="7"/>
  <c r="AG22" i="8"/>
  <c r="AF25" i="8"/>
  <c r="AG28" i="8" l="1"/>
  <c r="AH23" i="8"/>
  <c r="AH24" i="8" s="1"/>
  <c r="AH27" i="8" s="1"/>
  <c r="CY1" i="7"/>
  <c r="AI20" i="8"/>
  <c r="AG35" i="8"/>
  <c r="AG36" i="8"/>
  <c r="AG37" i="8"/>
  <c r="AG31" i="8"/>
  <c r="C8" i="6"/>
  <c r="C10" i="6" s="1"/>
  <c r="AH22" i="8"/>
  <c r="CT16" i="7"/>
  <c r="AG25" i="8"/>
  <c r="AH28" i="8" l="1"/>
  <c r="AI23" i="8"/>
  <c r="AI24" i="8" s="1"/>
  <c r="AI27" i="8" s="1"/>
  <c r="DB1" i="7"/>
  <c r="AJ20" i="8"/>
  <c r="AI22" i="8"/>
  <c r="CW16" i="7"/>
  <c r="AH25" i="8"/>
  <c r="AH31" i="8"/>
  <c r="AH36" i="8"/>
  <c r="AH37" i="8"/>
  <c r="AH35" i="8"/>
  <c r="AI28" i="8" l="1"/>
  <c r="DE1" i="7"/>
  <c r="AK20" i="8"/>
  <c r="AJ23" i="8"/>
  <c r="AJ24" i="8" s="1"/>
  <c r="AJ27" i="8" s="1"/>
  <c r="AI25" i="8"/>
  <c r="AI36" i="8"/>
  <c r="CX16" i="7"/>
  <c r="AI37" i="8"/>
  <c r="AI35" i="8"/>
  <c r="AI31" i="8"/>
  <c r="B31" i="9"/>
  <c r="B32" i="9"/>
  <c r="B29" i="9"/>
  <c r="B33" i="9"/>
  <c r="B30" i="9"/>
  <c r="AJ22" i="8"/>
  <c r="CZ16" i="7"/>
  <c r="AJ28" i="8" l="1"/>
  <c r="AK23" i="8"/>
  <c r="AK24" i="8" s="1"/>
  <c r="AK27" i="8" s="1"/>
  <c r="AL20" i="8"/>
  <c r="DH1" i="7"/>
  <c r="AJ37" i="8"/>
  <c r="AJ31" i="8"/>
  <c r="AJ35" i="8"/>
  <c r="AJ36" i="8"/>
  <c r="DA16" i="7"/>
  <c r="DC16" i="7"/>
  <c r="AK22" i="8"/>
  <c r="AJ33" i="8"/>
  <c r="B34" i="9"/>
  <c r="C32" i="9" s="1"/>
  <c r="AJ25" i="8"/>
  <c r="I33" i="8" l="1"/>
  <c r="L33" i="8"/>
  <c r="P33" i="8"/>
  <c r="T33" i="8"/>
  <c r="X33" i="8"/>
  <c r="AD33" i="8"/>
  <c r="AH33" i="8"/>
  <c r="H33" i="8"/>
  <c r="M33" i="8"/>
  <c r="Q33" i="8"/>
  <c r="U33" i="8"/>
  <c r="Y33" i="8"/>
  <c r="AE33" i="8"/>
  <c r="J33" i="8"/>
  <c r="N33" i="8"/>
  <c r="R33" i="8"/>
  <c r="V33" i="8"/>
  <c r="Z33" i="8"/>
  <c r="AF33" i="8"/>
  <c r="K33" i="8"/>
  <c r="O33" i="8"/>
  <c r="S33" i="8"/>
  <c r="W33" i="8"/>
  <c r="AC33" i="8"/>
  <c r="AG33" i="8"/>
  <c r="AI33" i="8"/>
  <c r="E33" i="8"/>
  <c r="E29" i="8" s="1"/>
  <c r="G33" i="8"/>
  <c r="F33" i="8"/>
  <c r="AJ29" i="8"/>
  <c r="AK28" i="8"/>
  <c r="AB33" i="8"/>
  <c r="AA33" i="8"/>
  <c r="C30" i="9"/>
  <c r="AM20" i="8"/>
  <c r="DK1" i="7"/>
  <c r="AL23" i="8"/>
  <c r="AL24" i="8" s="1"/>
  <c r="AL27" i="8" s="1"/>
  <c r="AJ32" i="8"/>
  <c r="C31" i="9"/>
  <c r="AK37" i="8"/>
  <c r="AK33" i="8"/>
  <c r="DD16" i="7"/>
  <c r="AK36" i="8"/>
  <c r="AK35" i="8"/>
  <c r="AK31" i="8"/>
  <c r="C33" i="9"/>
  <c r="C29" i="9"/>
  <c r="DF16" i="7"/>
  <c r="AL22" i="8"/>
  <c r="AK25" i="8"/>
  <c r="AC32" i="8" l="1"/>
  <c r="AC29" i="8"/>
  <c r="K29" i="8"/>
  <c r="K32" i="8"/>
  <c r="R29" i="8"/>
  <c r="R32" i="8"/>
  <c r="Y32" i="8"/>
  <c r="Y29" i="8"/>
  <c r="H29" i="8"/>
  <c r="H32" i="8"/>
  <c r="T29" i="8"/>
  <c r="T32" i="8"/>
  <c r="W29" i="8"/>
  <c r="W32" i="8"/>
  <c r="AF32" i="8"/>
  <c r="AF29" i="8"/>
  <c r="N32" i="8"/>
  <c r="N29" i="8"/>
  <c r="U29" i="8"/>
  <c r="U32" i="8"/>
  <c r="AH29" i="8"/>
  <c r="AH32" i="8"/>
  <c r="P29" i="8"/>
  <c r="P32" i="8"/>
  <c r="AI32" i="8"/>
  <c r="AI29" i="8"/>
  <c r="S29" i="8"/>
  <c r="S32" i="8"/>
  <c r="Z29" i="8"/>
  <c r="Z32" i="8"/>
  <c r="J29" i="8"/>
  <c r="J32" i="8"/>
  <c r="Q29" i="8"/>
  <c r="Q32" i="8"/>
  <c r="AD29" i="8"/>
  <c r="AD32" i="8"/>
  <c r="L29" i="8"/>
  <c r="L32" i="8"/>
  <c r="AG32" i="8"/>
  <c r="AG29" i="8"/>
  <c r="O32" i="8"/>
  <c r="O29" i="8"/>
  <c r="V29" i="8"/>
  <c r="V32" i="8"/>
  <c r="AE29" i="8"/>
  <c r="AE32" i="8"/>
  <c r="M29" i="8"/>
  <c r="M32" i="8"/>
  <c r="X32" i="8"/>
  <c r="X29" i="8"/>
  <c r="I32" i="8"/>
  <c r="I29" i="8"/>
  <c r="E32" i="8"/>
  <c r="F29" i="8"/>
  <c r="F32" i="8"/>
  <c r="G29" i="8"/>
  <c r="G32" i="8"/>
  <c r="AL28" i="8"/>
  <c r="AK29" i="8"/>
  <c r="AB32" i="8"/>
  <c r="AB29" i="8"/>
  <c r="AA32" i="8"/>
  <c r="AA29" i="8"/>
  <c r="AK32" i="8"/>
  <c r="AN20" i="8"/>
  <c r="DN1" i="7"/>
  <c r="AM23" i="8"/>
  <c r="AM24" i="8" s="1"/>
  <c r="AM27" i="8" s="1"/>
  <c r="C34" i="9"/>
  <c r="AL25" i="8"/>
  <c r="AL31" i="8"/>
  <c r="DG16" i="7"/>
  <c r="AL36" i="8"/>
  <c r="AL37" i="8"/>
  <c r="AL33" i="8"/>
  <c r="AL29" i="8" s="1"/>
  <c r="AL35" i="8"/>
  <c r="AM22" i="8"/>
  <c r="DI16" i="7"/>
  <c r="AM28" i="8" l="1"/>
  <c r="DQ1" i="7"/>
  <c r="AO20" i="8"/>
  <c r="AN23" i="8"/>
  <c r="AN24" i="8" s="1"/>
  <c r="AN27" i="8" s="1"/>
  <c r="AL32" i="8"/>
  <c r="AN22" i="8"/>
  <c r="DL16" i="7"/>
  <c r="AM36" i="8"/>
  <c r="AM35" i="8"/>
  <c r="AM33" i="8"/>
  <c r="AM31" i="8"/>
  <c r="DJ16" i="7"/>
  <c r="AM37" i="8"/>
  <c r="AM25" i="8"/>
  <c r="AN28" i="8" l="1"/>
  <c r="AM29" i="8"/>
  <c r="AO23" i="8"/>
  <c r="AO24" i="8" s="1"/>
  <c r="AO27" i="8" s="1"/>
  <c r="AM32" i="8"/>
  <c r="DT1" i="7"/>
  <c r="AP20" i="8"/>
  <c r="AN25" i="8"/>
  <c r="AN37" i="8"/>
  <c r="AN36" i="8"/>
  <c r="AN35" i="8"/>
  <c r="AN33" i="8"/>
  <c r="AN29" i="8" s="1"/>
  <c r="DM16" i="7"/>
  <c r="AN31" i="8"/>
  <c r="AO22" i="8"/>
  <c r="DO16" i="7"/>
  <c r="AO28" i="8" l="1"/>
  <c r="AN32" i="8"/>
  <c r="AP23" i="8"/>
  <c r="AP24" i="8" s="1"/>
  <c r="AP27" i="8" s="1"/>
  <c r="AQ20" i="8"/>
  <c r="DW1" i="7"/>
  <c r="AR20" i="8" s="1"/>
  <c r="AO25" i="8"/>
  <c r="DP16" i="7"/>
  <c r="AO37" i="8"/>
  <c r="AO31" i="8"/>
  <c r="AO36" i="8"/>
  <c r="AO35" i="8"/>
  <c r="AO33" i="8"/>
  <c r="AP22" i="8"/>
  <c r="DR16" i="7"/>
  <c r="AO29" i="8" l="1"/>
  <c r="AP28" i="8"/>
  <c r="AO32" i="8"/>
  <c r="AR23" i="8"/>
  <c r="AQ23" i="8"/>
  <c r="AQ24" i="8" s="1"/>
  <c r="AQ27" i="8" s="1"/>
  <c r="AP35" i="8"/>
  <c r="AP33" i="8"/>
  <c r="AP36" i="8"/>
  <c r="AP37" i="8"/>
  <c r="DS16" i="7"/>
  <c r="AP31" i="8"/>
  <c r="AP25" i="8"/>
  <c r="AQ22" i="8"/>
  <c r="DU16" i="7"/>
  <c r="AQ28" i="8" l="1"/>
  <c r="AP29" i="8"/>
  <c r="AP32" i="8"/>
  <c r="AR24" i="8"/>
  <c r="AR27" i="8" s="1"/>
  <c r="AQ25" i="8"/>
  <c r="DV16" i="7"/>
  <c r="AQ35" i="8"/>
  <c r="AQ31" i="8"/>
  <c r="AQ33" i="8"/>
  <c r="AQ29" i="8" s="1"/>
  <c r="AQ36" i="8"/>
  <c r="AQ37" i="8"/>
  <c r="AR22" i="8"/>
  <c r="DX16" i="7"/>
  <c r="AR28" i="8" l="1"/>
  <c r="AQ32" i="8"/>
  <c r="AR25" i="8"/>
  <c r="AR35" i="8"/>
  <c r="AR31" i="8"/>
  <c r="AR37" i="8"/>
  <c r="AR33" i="8"/>
  <c r="DY16" i="7"/>
  <c r="AR36" i="8"/>
  <c r="AR29" i="8" l="1"/>
  <c r="AR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Waletzky</author>
  </authors>
  <commentList>
    <comment ref="E41" authorId="0" shapeId="0" xr:uid="{00000000-0006-0000-0100-000001000000}">
      <text>
        <r>
          <rPr>
            <sz val="8"/>
            <color indexed="81"/>
            <rFont val="Tahoma"/>
            <family val="2"/>
          </rPr>
          <t>Negative number to go back from today's date; positive number to go forward from today's date.</t>
        </r>
      </text>
    </comment>
  </commentList>
</comments>
</file>

<file path=xl/sharedStrings.xml><?xml version="1.0" encoding="utf-8"?>
<sst xmlns="http://schemas.openxmlformats.org/spreadsheetml/2006/main" count="306" uniqueCount="154">
  <si>
    <t>Owner</t>
  </si>
  <si>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</si>
  <si>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</si>
  <si>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</si>
  <si>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</si>
  <si>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</si>
  <si>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</si>
  <si>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</si>
  <si>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</si>
  <si>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</si>
  <si>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</si>
  <si>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</si>
  <si>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</si>
  <si>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</si>
  <si>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</si>
  <si>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</si>
  <si>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</si>
  <si>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</si>
  <si>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</si>
  <si>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</si>
  <si>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</si>
  <si>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</si>
  <si>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</si>
  <si>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</si>
  <si>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</si>
  <si>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</si>
  <si>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</si>
  <si>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</si>
  <si>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</si>
  <si>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</si>
  <si>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</si>
  <si>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</si>
  <si>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</si>
  <si>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</si>
  <si>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</si>
  <si>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NAME</t>
  </si>
  <si>
    <t>PHONE</t>
  </si>
  <si>
    <t>MOBILE PHONE</t>
  </si>
  <si>
    <t>EMAIL</t>
  </si>
  <si>
    <t>IM</t>
  </si>
  <si>
    <t>T</t>
  </si>
  <si>
    <t>W</t>
  </si>
  <si>
    <t>F</t>
  </si>
  <si>
    <t>Total Remaining Hours:</t>
  </si>
  <si>
    <t>Total Capacity in Hours:</t>
  </si>
  <si>
    <t>Variance in Hours:</t>
  </si>
  <si>
    <t>=</t>
  </si>
  <si>
    <t>Sprint Team</t>
  </si>
  <si>
    <t>Sprint Start Date</t>
  </si>
  <si>
    <t>Current Date</t>
  </si>
  <si>
    <t>Scrum Team</t>
  </si>
  <si>
    <t>Assigned Hours</t>
  </si>
  <si>
    <t>Sprint Tracking Statistics</t>
  </si>
  <si>
    <t>h</t>
  </si>
  <si>
    <t>v</t>
  </si>
  <si>
    <t>Vacation &amp; Public Holiday</t>
  </si>
  <si>
    <t>%age of time on Project</t>
  </si>
  <si>
    <t>OOF (Sick, Biz Travel etc.)</t>
  </si>
  <si>
    <t>Sprint Days =</t>
  </si>
  <si>
    <t>Sprint Vision:</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</si>
  <si>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</si>
  <si>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</si>
  <si>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</si>
  <si>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</si>
  <si>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</si>
  <si>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</si>
  <si>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</si>
  <si>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</si>
  <si>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</si>
  <si>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</si>
  <si>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</si>
  <si>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</si>
  <si>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</si>
  <si>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</si>
  <si>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</si>
  <si>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</si>
  <si>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</si>
  <si>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</si>
  <si>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</si>
  <si>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</si>
  <si>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</si>
  <si>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</si>
  <si>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</si>
  <si>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</si>
  <si>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</si>
  <si>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</si>
  <si>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</si>
  <si>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</si>
  <si>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</si>
  <si>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</si>
  <si>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</si>
  <si>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</si>
  <si>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</si>
  <si>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</si>
  <si>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</si>
  <si>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</si>
  <si>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</si>
  <si>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</si>
  <si>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</si>
  <si>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</si>
  <si>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</si>
  <si>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</si>
  <si>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</si>
  <si>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</si>
  <si>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</si>
  <si>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</si>
  <si>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</si>
  <si>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</si>
  <si>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</si>
  <si>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EMAIL ALIAS</t>
  </si>
  <si>
    <t>Worktype</t>
  </si>
  <si>
    <t>Deliverable Area</t>
  </si>
  <si>
    <t>Work Type Breakdown</t>
  </si>
  <si>
    <t>Feature</t>
  </si>
  <si>
    <t>Tax</t>
  </si>
  <si>
    <t>Precondition</t>
  </si>
  <si>
    <t>Spike</t>
  </si>
  <si>
    <t>Total</t>
  </si>
  <si>
    <t>Data Model</t>
  </si>
  <si>
    <t>Work Item Status</t>
  </si>
  <si>
    <t>Complete</t>
  </si>
  <si>
    <t>Postponed</t>
  </si>
  <si>
    <t>Cancelled</t>
  </si>
  <si>
    <t>Functional Breakdown</t>
    <phoneticPr fontId="41" type="noConversion"/>
  </si>
  <si>
    <t>Integration Model</t>
    <phoneticPr fontId="41" type="noConversion"/>
  </si>
  <si>
    <t>System Frameworks</t>
    <phoneticPr fontId="41" type="noConversion"/>
  </si>
  <si>
    <t>Data Conversions</t>
    <phoneticPr fontId="41" type="noConversion"/>
  </si>
  <si>
    <t>Security</t>
    <phoneticPr fontId="41" type="noConversion"/>
  </si>
  <si>
    <t>Cash Payment Tracking</t>
    <phoneticPr fontId="41" type="noConversion"/>
  </si>
  <si>
    <t>Views</t>
    <phoneticPr fontId="41" type="noConversion"/>
  </si>
  <si>
    <t>Lookups</t>
    <phoneticPr fontId="41" type="noConversion"/>
  </si>
  <si>
    <t>Detail screens</t>
    <phoneticPr fontId="41" type="noConversion"/>
  </si>
  <si>
    <t>Notifications</t>
    <phoneticPr fontId="41" type="noConversion"/>
  </si>
  <si>
    <t>Reports</t>
    <phoneticPr fontId="41" type="noConversion"/>
  </si>
  <si>
    <t>Installation Package</t>
    <phoneticPr fontId="41" type="noConversion"/>
  </si>
  <si>
    <t>Deployment</t>
    <phoneticPr fontId="41" type="noConversion"/>
  </si>
  <si>
    <t>Documentation</t>
    <phoneticPr fontId="41" type="noConversion"/>
  </si>
  <si>
    <t>Testing</t>
    <phoneticPr fontId="41" type="noConversion"/>
  </si>
  <si>
    <t>Project Mgt</t>
    <phoneticPr fontId="41" type="noConversion"/>
  </si>
  <si>
    <t>In Progress</t>
    <phoneticPr fontId="41" type="noConversion"/>
  </si>
  <si>
    <t>Pending</t>
    <phoneticPr fontId="41" type="noConversion"/>
  </si>
  <si>
    <t>Working Hours</t>
    <phoneticPr fontId="0" type="noConversion"/>
  </si>
  <si>
    <t>Personal Productive Hours</t>
    <phoneticPr fontId="0" type="noConversion"/>
  </si>
  <si>
    <t>Normal Productive Hours =</t>
    <phoneticPr fontId="0" type="noConversion"/>
  </si>
  <si>
    <t>袁斌</t>
  </si>
  <si>
    <t>袁斌</t>
    <phoneticPr fontId="2" type="noConversion"/>
  </si>
  <si>
    <t>郭培伦</t>
    <phoneticPr fontId="2" type="noConversion"/>
  </si>
  <si>
    <t>git仓库注册</t>
    <phoneticPr fontId="2" type="noConversion"/>
  </si>
  <si>
    <t>敏捷开发log准备</t>
    <phoneticPr fontId="2" type="noConversion"/>
  </si>
  <si>
    <t>内容计划规划</t>
    <phoneticPr fontId="2" type="noConversion"/>
  </si>
  <si>
    <t>NLP框架思维导图初版</t>
    <phoneticPr fontId="2" type="noConversion"/>
  </si>
  <si>
    <t>分词总纲</t>
    <phoneticPr fontId="2" type="noConversion"/>
  </si>
  <si>
    <t>高数1.1</t>
    <phoneticPr fontId="2" type="noConversion"/>
  </si>
  <si>
    <t>高数1.2</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</si>
</sst>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409]d\-mmm\-yy;@"/>
    <numFmt numFmtId="177" formatCode="0.0"/>
    <numFmt numFmtId="178" formatCode="0_);[Red]\(0\)"/>
    <numFmt numFmtId="179" formatCode="dd"/>
    <numFmt numFmtId="180" formatCode="ddd"/>
    <numFmt numFmtId="181" formatCode="[$-F800]dddd\,\ mmmm\ dd\,\ yyyy"/>
  </numFmts>
  <fonts count="45"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u/>
      <sz val="8"/>
      <color indexed="12"/>
      <name val="Tahoma"/>
      <family val="2"/>
    </font>
    <font>
      <sz val="8"/>
      <color indexed="8"/>
      <name val="Tahoma"/>
      <family val="2"/>
    </font>
    <font>
      <sz val="10"/>
      <color indexed="22"/>
      <name val="Tahoma"/>
      <family val="2"/>
    </font>
    <font>
      <sz val="6"/>
      <color indexed="22"/>
      <name val="Tahoma"/>
      <family val="2"/>
    </font>
    <font>
      <sz val="9"/>
      <name val="宋体"/>
      <family val="3"/>
      <charset val="134"/>
    </font>
    <font>
      <b/>
      <sz val="10"/>
      <name val="Arial"/>
      <family val="2"/>
    </font>
    <font>
      <sz val="10"/>
      <name val="Arial"/>
      <family val="2"/>
    </font>
    <font>
      <sz val="8"/>
      <name val="宋体"/>
      <family val="3"/>
      <charset val="134"/>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gray0625"/>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right style="thick">
        <color indexed="12"/>
      </right>
      <top style="thin">
        <color indexed="23"/>
      </top>
      <bottom/>
      <diagonal/>
    </border>
    <border>
      <left style="thick">
        <color indexed="12"/>
      </left>
      <right style="thin">
        <color indexed="23"/>
      </right>
      <top/>
      <bottom style="thin">
        <color indexed="23"/>
      </bottom>
      <diagonal/>
    </border>
    <border>
      <left/>
      <right style="thin">
        <color indexed="23"/>
      </right>
      <top/>
      <bottom style="thin">
        <color indexed="23"/>
      </bottom>
      <diagonal/>
    </border>
    <border>
      <left style="thin">
        <color indexed="23"/>
      </left>
      <right style="thin">
        <color indexed="23"/>
      </right>
      <top/>
      <bottom style="thin">
        <color indexed="23"/>
      </bottom>
      <diagonal/>
    </border>
    <border>
      <left/>
      <right style="thick">
        <color indexed="12"/>
      </right>
      <top/>
      <bottom style="thin">
        <color indexed="23"/>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12"/>
      </left>
      <right/>
      <top/>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46">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cellStyleXfs>
  <cellXfs count="240">
    <xf numFmtId="0" fontId="0" fillId="0" borderId="0" xfId="0"/>
    <xf numFmtId="0" fontId="25" fillId="0" borderId="0" xfId="0" applyFont="1"/>
    <xf numFmtId="0" fontId="22" fillId="20" borderId="0" xfId="0" applyFont="1" applyFill="1" applyAlignment="1">
      <alignment horizontal="left" wrapText="1"/>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0" fontId="21" fillId="21" borderId="12" xfId="0" applyFont="1" applyFill="1" applyBorder="1" applyAlignment="1">
      <alignment horizontal="center"/>
    </xf>
    <xf numFmtId="177" fontId="21" fillId="0" borderId="0" xfId="0" applyNumberFormat="1" applyFont="1" applyBorder="1"/>
    <xf numFmtId="0" fontId="22" fillId="23" borderId="0" xfId="0" applyFont="1" applyFill="1" applyBorder="1" applyAlignment="1">
      <alignment horizontal="left"/>
    </xf>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81" fontId="25" fillId="24" borderId="16" xfId="0" applyNumberFormat="1" applyFont="1" applyFill="1" applyBorder="1"/>
    <xf numFmtId="0" fontId="33" fillId="21" borderId="17" xfId="0" applyFont="1" applyFill="1" applyBorder="1"/>
    <xf numFmtId="0" fontId="21" fillId="21" borderId="18" xfId="0" applyFont="1" applyFill="1" applyBorder="1"/>
    <xf numFmtId="181" fontId="25" fillId="21" borderId="18" xfId="0" applyNumberFormat="1" applyFont="1" applyFill="1" applyBorder="1"/>
    <xf numFmtId="181"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77"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79" fontId="25" fillId="25" borderId="26" xfId="0" applyNumberFormat="1" applyFont="1" applyFill="1" applyBorder="1" applyAlignment="1">
      <alignment horizontal="center"/>
    </xf>
    <xf numFmtId="179"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78"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77" fontId="25" fillId="21" borderId="31" xfId="0" applyNumberFormat="1" applyFont="1" applyFill="1" applyBorder="1" applyAlignment="1">
      <alignment horizontal="center"/>
    </xf>
    <xf numFmtId="177"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78" fontId="25" fillId="26" borderId="11" xfId="0" applyNumberFormat="1" applyFont="1" applyFill="1" applyBorder="1" applyAlignment="1">
      <alignment horizontal="center" vertical="top" wrapText="1"/>
    </xf>
    <xf numFmtId="0" fontId="25" fillId="21" borderId="23" xfId="0" applyFont="1" applyFill="1" applyBorder="1"/>
    <xf numFmtId="178"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78"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80"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0" fontId="25" fillId="21" borderId="0" xfId="0" applyFont="1" applyFill="1" applyAlignment="1">
      <alignment horizontal="left"/>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37" fillId="30" borderId="54" xfId="36" applyFont="1" applyFill="1" applyBorder="1" applyAlignment="1" applyProtection="1">
      <alignment horizontal="left"/>
    </xf>
    <xf numFmtId="0" fontId="21" fillId="30" borderId="49" xfId="0" applyFont="1" applyFill="1" applyBorder="1" applyAlignment="1">
      <alignment horizontal="left"/>
    </xf>
    <xf numFmtId="0" fontId="21" fillId="30" borderId="50" xfId="0" applyFont="1" applyFill="1" applyBorder="1" applyAlignment="1">
      <alignment horizontal="left"/>
    </xf>
    <xf numFmtId="0" fontId="37" fillId="30" borderId="51" xfId="36" applyFont="1" applyFill="1" applyBorder="1" applyAlignment="1" applyProtection="1">
      <alignment horizontal="left"/>
    </xf>
    <xf numFmtId="0" fontId="21" fillId="30" borderId="48" xfId="0" applyFont="1" applyFill="1" applyBorder="1" applyAlignment="1">
      <alignment wrapText="1"/>
    </xf>
    <xf numFmtId="0" fontId="21" fillId="30" borderId="49" xfId="0" applyFont="1" applyFill="1" applyBorder="1" applyAlignment="1">
      <alignment wrapText="1"/>
    </xf>
    <xf numFmtId="0" fontId="38" fillId="30" borderId="50" xfId="0" applyNumberFormat="1" applyFont="1" applyFill="1" applyBorder="1" applyAlignment="1">
      <alignment horizontal="left"/>
    </xf>
    <xf numFmtId="0" fontId="21" fillId="30" borderId="50" xfId="36" applyFont="1" applyFill="1" applyBorder="1" applyAlignment="1" applyProtection="1">
      <alignment horizontal="left"/>
    </xf>
    <xf numFmtId="0" fontId="21" fillId="30" borderId="49" xfId="0" quotePrefix="1" applyFont="1" applyFill="1" applyBorder="1" applyAlignment="1">
      <alignment horizontal="left"/>
    </xf>
    <xf numFmtId="0" fontId="21" fillId="30" borderId="51" xfId="0" applyFont="1" applyFill="1" applyBorder="1" applyAlignment="1">
      <alignment horizontal="left"/>
    </xf>
    <xf numFmtId="0" fontId="21" fillId="30" borderId="50" xfId="36" applyFont="1" applyFill="1" applyBorder="1" applyAlignment="1" applyProtection="1">
      <alignment horizontal="left" wrapText="1"/>
    </xf>
    <xf numFmtId="0" fontId="21" fillId="30" borderId="50" xfId="0" applyFont="1" applyFill="1" applyBorder="1"/>
    <xf numFmtId="0" fontId="21" fillId="30" borderId="48" xfId="0" applyFont="1" applyFill="1" applyBorder="1"/>
    <xf numFmtId="0" fontId="21" fillId="30" borderId="49" xfId="0" applyFont="1" applyFill="1" applyBorder="1"/>
    <xf numFmtId="0" fontId="21" fillId="30" borderId="51" xfId="36" applyFont="1" applyFill="1" applyBorder="1" applyAlignment="1" applyProtection="1">
      <alignment horizontal="left"/>
    </xf>
    <xf numFmtId="0" fontId="21" fillId="30" borderId="55" xfId="0" applyFont="1" applyFill="1" applyBorder="1" applyAlignment="1">
      <alignment wrapText="1"/>
    </xf>
    <xf numFmtId="0" fontId="21" fillId="30" borderId="56" xfId="0" applyFont="1" applyFill="1" applyBorder="1" applyAlignment="1">
      <alignment wrapText="1"/>
    </xf>
    <xf numFmtId="0" fontId="21" fillId="30" borderId="56" xfId="0" quotePrefix="1" applyFont="1" applyFill="1" applyBorder="1" applyAlignment="1">
      <alignment horizontal="left"/>
    </xf>
    <xf numFmtId="0" fontId="21" fillId="30" borderId="57" xfId="0" applyFont="1" applyFill="1" applyBorder="1" applyAlignment="1">
      <alignment horizontal="left"/>
    </xf>
    <xf numFmtId="0" fontId="21" fillId="30" borderId="57" xfId="36" applyFont="1" applyFill="1" applyBorder="1" applyAlignment="1" applyProtection="1">
      <alignment horizontal="left" wrapText="1"/>
    </xf>
    <xf numFmtId="0" fontId="21" fillId="30" borderId="58" xfId="36" applyFont="1" applyFill="1" applyBorder="1" applyAlignment="1" applyProtection="1">
      <alignment horizontal="left"/>
    </xf>
    <xf numFmtId="0" fontId="21" fillId="0" borderId="59" xfId="0" applyFont="1" applyFill="1" applyBorder="1"/>
    <xf numFmtId="0" fontId="21" fillId="0" borderId="60" xfId="0" applyFont="1" applyFill="1" applyBorder="1" applyAlignment="1">
      <alignment horizontal="left" vertical="top"/>
    </xf>
    <xf numFmtId="0" fontId="21" fillId="0" borderId="61" xfId="0" applyFont="1" applyFill="1" applyBorder="1" applyAlignment="1">
      <alignment horizontal="left"/>
    </xf>
    <xf numFmtId="0" fontId="21" fillId="0" borderId="61" xfId="36" applyFont="1" applyFill="1" applyBorder="1" applyAlignment="1" applyProtection="1">
      <alignment horizontal="left" wrapText="1"/>
    </xf>
    <xf numFmtId="0" fontId="21" fillId="0" borderId="62" xfId="0" applyFont="1" applyBorder="1" applyAlignment="1">
      <alignment horizontal="left"/>
    </xf>
    <xf numFmtId="181" fontId="25" fillId="21" borderId="0" xfId="0" applyNumberFormat="1" applyFont="1" applyFill="1"/>
    <xf numFmtId="0" fontId="26" fillId="0" borderId="0" xfId="36" applyFont="1" applyAlignment="1" applyProtection="1"/>
    <xf numFmtId="0" fontId="33" fillId="0" borderId="0" xfId="0" applyFont="1" applyBorder="1"/>
    <xf numFmtId="9" fontId="21" fillId="0" borderId="0" xfId="0" applyNumberFormat="1" applyFont="1" applyBorder="1"/>
    <xf numFmtId="0" fontId="21" fillId="0" borderId="0" xfId="0" applyFont="1" applyBorder="1"/>
    <xf numFmtId="0" fontId="21" fillId="0" borderId="0" xfId="0" applyFont="1" applyFill="1" applyBorder="1"/>
    <xf numFmtId="0" fontId="21" fillId="31" borderId="0" xfId="0" applyFont="1" applyFill="1" applyBorder="1"/>
    <xf numFmtId="176" fontId="21" fillId="0" borderId="0" xfId="0" applyNumberFormat="1" applyFont="1" applyBorder="1"/>
    <xf numFmtId="176" fontId="21" fillId="0" borderId="0" xfId="0" applyNumberFormat="1" applyFont="1" applyFill="1" applyBorder="1"/>
    <xf numFmtId="176" fontId="21" fillId="31" borderId="0" xfId="0" applyNumberFormat="1" applyFont="1" applyFill="1" applyBorder="1"/>
    <xf numFmtId="0" fontId="21" fillId="0" borderId="0" xfId="0" applyFont="1"/>
    <xf numFmtId="0" fontId="22" fillId="0" borderId="0" xfId="0" applyFont="1" applyBorder="1"/>
    <xf numFmtId="0" fontId="33" fillId="0" borderId="0" xfId="0" applyFont="1"/>
    <xf numFmtId="0" fontId="21" fillId="31" borderId="0" xfId="0" applyFont="1" applyFill="1"/>
    <xf numFmtId="177" fontId="21" fillId="0" borderId="0" xfId="0" applyNumberFormat="1" applyFont="1" applyFill="1" applyBorder="1"/>
    <xf numFmtId="177" fontId="21" fillId="31" borderId="0" xfId="0" applyNumberFormat="1" applyFont="1" applyFill="1" applyBorder="1"/>
    <xf numFmtId="176" fontId="21" fillId="0" borderId="0" xfId="0" applyNumberFormat="1" applyFont="1"/>
    <xf numFmtId="176" fontId="21" fillId="31" borderId="0" xfId="0" applyNumberFormat="1" applyFont="1" applyFill="1"/>
    <xf numFmtId="1" fontId="21" fillId="0" borderId="0" xfId="0" applyNumberFormat="1" applyFont="1"/>
    <xf numFmtId="1" fontId="21" fillId="0" borderId="0" xfId="0" applyNumberFormat="1" applyFont="1" applyFill="1" applyBorder="1"/>
    <xf numFmtId="1" fontId="21" fillId="31" borderId="0" xfId="0" applyNumberFormat="1" applyFont="1" applyFill="1"/>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2" fillId="20" borderId="0" xfId="0" applyFont="1" applyFill="1" applyAlignment="1">
      <alignment horizontal="left"/>
    </xf>
    <xf numFmtId="0" fontId="22" fillId="20" borderId="0" xfId="0" applyFont="1" applyFill="1" applyBorder="1" applyAlignment="1">
      <alignment horizontal="left"/>
    </xf>
    <xf numFmtId="0" fontId="30" fillId="20" borderId="0" xfId="0" applyFont="1" applyFill="1" applyBorder="1" applyAlignment="1">
      <alignment horizontal="left"/>
    </xf>
    <xf numFmtId="0" fontId="31" fillId="20" borderId="0" xfId="0" applyFont="1" applyFill="1" applyBorder="1" applyAlignment="1">
      <alignment horizontal="left"/>
    </xf>
    <xf numFmtId="1" fontId="21" fillId="20" borderId="0" xfId="0" applyNumberFormat="1" applyFont="1" applyFill="1" applyAlignment="1">
      <alignment horizontal="left"/>
    </xf>
    <xf numFmtId="0" fontId="25" fillId="0" borderId="0" xfId="0" applyFont="1" applyAlignment="1">
      <alignment horizontal="left"/>
    </xf>
    <xf numFmtId="0" fontId="25" fillId="0" borderId="0" xfId="0" applyFont="1" applyBorder="1" applyAlignment="1">
      <alignment horizontal="left"/>
    </xf>
    <xf numFmtId="9" fontId="0" fillId="0" borderId="0" xfId="0" applyNumberFormat="1"/>
    <xf numFmtId="0" fontId="10"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0" fontId="42" fillId="0" borderId="0" xfId="0" applyNumberFormat="1" applyFont="1" applyAlignment="1">
      <alignment horizontal="center"/>
    </xf>
    <xf numFmtId="9" fontId="42" fillId="0" borderId="0" xfId="0" applyNumberFormat="1" applyFont="1"/>
    <xf numFmtId="0" fontId="6" fillId="0" borderId="0" xfId="45" applyFont="1" applyFill="1" applyAlignment="1">
      <alignment horizontal="left"/>
    </xf>
    <xf numFmtId="0" fontId="10" fillId="0" borderId="0" xfId="45" applyFont="1" applyFill="1" applyAlignment="1">
      <alignment horizontal="left"/>
    </xf>
    <xf numFmtId="9" fontId="42" fillId="0" borderId="0" xfId="0" applyNumberFormat="1" applyFont="1" applyAlignment="1">
      <alignment horizontal="center"/>
    </xf>
    <xf numFmtId="0" fontId="43" fillId="0" borderId="0" xfId="0" applyFont="1"/>
    <xf numFmtId="0" fontId="6" fillId="0" borderId="0" xfId="45" applyNumberFormat="1" applyFont="1"/>
    <xf numFmtId="0" fontId="6" fillId="0" borderId="0" xfId="45" applyNumberFormat="1" applyFont="1" applyAlignment="1">
      <alignment horizontal="center"/>
    </xf>
    <xf numFmtId="0" fontId="10" fillId="0" borderId="0" xfId="45" applyNumberFormat="1" applyFont="1" applyAlignment="1">
      <alignment horizontal="center"/>
    </xf>
    <xf numFmtId="0" fontId="0" fillId="0" borderId="0" xfId="0" applyNumberFormat="1"/>
    <xf numFmtId="0" fontId="44" fillId="30" borderId="65" xfId="0" applyFont="1" applyFill="1" applyBorder="1" applyAlignment="1">
      <alignment horizontal="left"/>
    </xf>
    <xf numFmtId="0" fontId="44" fillId="30" borderId="48" xfId="0" applyFont="1" applyFill="1" applyBorder="1" applyAlignment="1">
      <alignment wrapText="1"/>
    </xf>
    <xf numFmtId="0" fontId="44" fillId="30" borderId="49" xfId="0" applyFont="1" applyFill="1" applyBorder="1" applyAlignment="1">
      <alignment wrapText="1"/>
    </xf>
    <xf numFmtId="0" fontId="25" fillId="21" borderId="67" xfId="0" applyFont="1" applyFill="1" applyBorder="1"/>
    <xf numFmtId="49" fontId="36" fillId="21" borderId="23" xfId="0" applyNumberFormat="1" applyFont="1" applyFill="1" applyBorder="1" applyAlignment="1">
      <alignment horizontal="left" wrapText="1"/>
    </xf>
    <xf numFmtId="0" fontId="25" fillId="21" borderId="0" xfId="0" applyFont="1" applyFill="1" applyBorder="1" applyAlignment="1">
      <alignment horizontal="center" wrapText="1"/>
    </xf>
    <xf numFmtId="0" fontId="21" fillId="21" borderId="0" xfId="0" applyFont="1" applyFill="1" applyBorder="1" applyAlignment="1">
      <alignment wrapText="1"/>
    </xf>
    <xf numFmtId="0" fontId="25" fillId="21" borderId="67" xfId="0" applyFont="1" applyFill="1" applyBorder="1" applyAlignment="1">
      <alignment horizontal="center" wrapText="1"/>
    </xf>
    <xf numFmtId="0" fontId="25" fillId="28" borderId="35" xfId="0" applyFont="1" applyFill="1" applyBorder="1" applyAlignment="1">
      <alignment horizontal="center"/>
    </xf>
    <xf numFmtId="0" fontId="25" fillId="28" borderId="24" xfId="0" applyFont="1" applyFill="1" applyBorder="1" applyAlignment="1">
      <alignment horizontal="center"/>
    </xf>
    <xf numFmtId="0" fontId="21" fillId="20" borderId="0" xfId="0" applyFont="1" applyFill="1" applyAlignment="1">
      <alignment horizontal="left" wrapText="1"/>
    </xf>
    <xf numFmtId="0" fontId="23" fillId="20" borderId="0" xfId="36" applyFont="1" applyFill="1" applyAlignment="1" applyProtection="1">
      <alignment horizontal="left"/>
    </xf>
    <xf numFmtId="0" fontId="26" fillId="20" borderId="0" xfId="36" applyFont="1" applyFill="1" applyAlignment="1" applyProtection="1">
      <alignment horizontal="left"/>
    </xf>
    <xf numFmtId="0" fontId="21" fillId="20" borderId="0" xfId="0" applyFont="1" applyFill="1" applyBorder="1" applyAlignment="1">
      <alignment horizontal="left"/>
    </xf>
    <xf numFmtId="14" fontId="30" fillId="20" borderId="0" xfId="0" applyNumberFormat="1" applyFont="1" applyFill="1" applyBorder="1" applyAlignment="1">
      <alignment horizontal="left"/>
    </xf>
    <xf numFmtId="0" fontId="32" fillId="20" borderId="0" xfId="0" applyFont="1" applyFill="1" applyBorder="1" applyAlignment="1">
      <alignment horizontal="left"/>
    </xf>
    <xf numFmtId="0" fontId="21" fillId="20" borderId="0" xfId="0" applyFont="1" applyFill="1" applyAlignment="1">
      <alignment horizontal="left"/>
    </xf>
    <xf numFmtId="0" fontId="24" fillId="20" borderId="0" xfId="0" applyFont="1" applyFill="1" applyAlignment="1">
      <alignment horizontal="left"/>
    </xf>
    <xf numFmtId="176" fontId="24" fillId="20" borderId="0" xfId="0" applyNumberFormat="1" applyFont="1" applyFill="1" applyAlignment="1">
      <alignment horizontal="left"/>
    </xf>
    <xf numFmtId="176" fontId="25" fillId="20" borderId="0" xfId="0" applyNumberFormat="1" applyFont="1" applyFill="1" applyAlignment="1">
      <alignment horizontal="left" vertical="center"/>
    </xf>
    <xf numFmtId="176" fontId="27" fillId="20" borderId="0" xfId="0" applyNumberFormat="1" applyFont="1" applyFill="1" applyAlignment="1">
      <alignment horizontal="left"/>
    </xf>
    <xf numFmtId="176" fontId="28" fillId="20" borderId="0" xfId="0" applyNumberFormat="1" applyFont="1" applyFill="1" applyAlignment="1">
      <alignment horizontal="left" vertical="center"/>
    </xf>
    <xf numFmtId="176" fontId="22" fillId="20" borderId="0" xfId="0" applyNumberFormat="1" applyFont="1" applyFill="1" applyAlignment="1">
      <alignment horizontal="left" vertical="center"/>
    </xf>
    <xf numFmtId="49" fontId="22" fillId="20" borderId="0" xfId="0" applyNumberFormat="1" applyFont="1" applyFill="1" applyAlignment="1">
      <alignment horizontal="left" vertical="top" textRotation="180" wrapText="1"/>
    </xf>
    <xf numFmtId="49" fontId="21" fillId="0" borderId="10" xfId="0" applyNumberFormat="1" applyFont="1" applyFill="1" applyBorder="1" applyAlignment="1">
      <alignment horizontal="left"/>
    </xf>
    <xf numFmtId="0" fontId="44" fillId="0" borderId="0" xfId="0" applyFont="1" applyAlignment="1">
      <alignment horizontal="left"/>
    </xf>
    <xf numFmtId="0" fontId="21" fillId="0" borderId="11" xfId="0" applyNumberFormat="1" applyFont="1" applyFill="1" applyBorder="1" applyAlignment="1">
      <alignment horizontal="left"/>
    </xf>
    <xf numFmtId="49" fontId="21" fillId="0" borderId="11" xfId="0" applyNumberFormat="1" applyFont="1" applyFill="1" applyBorder="1" applyAlignment="1">
      <alignment horizontal="left"/>
    </xf>
    <xf numFmtId="49" fontId="24" fillId="0" borderId="0" xfId="0" applyNumberFormat="1" applyFont="1" applyAlignment="1">
      <alignment horizontal="left"/>
    </xf>
    <xf numFmtId="1" fontId="21" fillId="0" borderId="13" xfId="0" applyNumberFormat="1" applyFont="1" applyBorder="1" applyAlignment="1">
      <alignment horizontal="left"/>
    </xf>
    <xf numFmtId="0" fontId="21" fillId="22" borderId="0" xfId="0" applyFont="1" applyFill="1" applyBorder="1" applyAlignment="1">
      <alignment horizontal="left"/>
    </xf>
    <xf numFmtId="49" fontId="22" fillId="0" borderId="0" xfId="0" applyNumberFormat="1" applyFont="1" applyFill="1" applyBorder="1" applyAlignment="1">
      <alignment horizontal="left" shrinkToFit="1"/>
    </xf>
    <xf numFmtId="0" fontId="28" fillId="23" borderId="0" xfId="0" applyFont="1" applyFill="1" applyBorder="1" applyAlignment="1">
      <alignment horizontal="left"/>
    </xf>
    <xf numFmtId="1" fontId="29" fillId="20" borderId="0" xfId="0" applyNumberFormat="1" applyFont="1" applyFill="1" applyBorder="1" applyAlignment="1">
      <alignment horizontal="left"/>
    </xf>
    <xf numFmtId="0" fontId="21" fillId="23" borderId="0" xfId="0" applyFont="1" applyFill="1" applyBorder="1" applyAlignment="1">
      <alignment horizontal="left"/>
    </xf>
    <xf numFmtId="1" fontId="22" fillId="20" borderId="0" xfId="0" applyNumberFormat="1" applyFont="1" applyFill="1" applyBorder="1" applyAlignment="1">
      <alignment horizontal="left"/>
    </xf>
    <xf numFmtId="9" fontId="21" fillId="20" borderId="0" xfId="0" applyNumberFormat="1" applyFont="1" applyFill="1" applyBorder="1" applyAlignment="1">
      <alignment horizontal="left"/>
    </xf>
    <xf numFmtId="0" fontId="28" fillId="20" borderId="0" xfId="0" applyFont="1" applyFill="1" applyBorder="1" applyAlignment="1">
      <alignment horizontal="left"/>
    </xf>
    <xf numFmtId="9" fontId="22" fillId="20" borderId="0" xfId="0" applyNumberFormat="1" applyFont="1" applyFill="1" applyAlignment="1">
      <alignment horizontal="left"/>
    </xf>
    <xf numFmtId="0" fontId="33" fillId="20" borderId="0" xfId="0" applyFont="1" applyFill="1" applyBorder="1" applyAlignment="1">
      <alignment horizontal="left"/>
    </xf>
    <xf numFmtId="0" fontId="30" fillId="23" borderId="0" xfId="0" applyFont="1" applyFill="1" applyBorder="1" applyAlignment="1">
      <alignment horizontal="left"/>
    </xf>
    <xf numFmtId="0" fontId="24" fillId="20" borderId="0" xfId="0" applyFont="1" applyFill="1" applyBorder="1" applyAlignment="1">
      <alignment horizontal="left"/>
    </xf>
    <xf numFmtId="0" fontId="40" fillId="20" borderId="0" xfId="0" applyFont="1" applyFill="1" applyBorder="1" applyAlignment="1">
      <alignment horizontal="left"/>
    </xf>
    <xf numFmtId="0" fontId="32" fillId="20" borderId="0" xfId="0" applyFont="1" applyFill="1" applyAlignment="1">
      <alignment horizontal="left"/>
    </xf>
    <xf numFmtId="0" fontId="39" fillId="0" borderId="0" xfId="0" applyFont="1" applyFill="1" applyBorder="1" applyAlignment="1">
      <alignment horizontal="left"/>
    </xf>
    <xf numFmtId="0" fontId="39" fillId="0" borderId="0" xfId="0" applyFont="1" applyBorder="1" applyAlignment="1">
      <alignment horizontal="left"/>
    </xf>
    <xf numFmtId="0" fontId="25" fillId="0" borderId="0" xfId="0" applyFont="1" applyFill="1" applyBorder="1" applyAlignment="1">
      <alignment horizontal="left"/>
    </xf>
    <xf numFmtId="0" fontId="39" fillId="0" borderId="0" xfId="0" applyFont="1" applyAlignment="1">
      <alignment horizontal="left"/>
    </xf>
    <xf numFmtId="0" fontId="28" fillId="23" borderId="0" xfId="0" applyFont="1" applyFill="1" applyBorder="1" applyAlignment="1">
      <alignment horizontal="left"/>
    </xf>
    <xf numFmtId="0" fontId="25" fillId="0" borderId="0" xfId="0" applyFont="1" applyAlignment="1">
      <alignment horizontal="left"/>
    </xf>
    <xf numFmtId="176" fontId="24" fillId="20" borderId="0" xfId="0" applyNumberFormat="1" applyFont="1" applyFill="1" applyAlignment="1">
      <alignment horizontal="left" vertical="center"/>
    </xf>
    <xf numFmtId="0" fontId="22" fillId="23" borderId="0" xfId="0" applyFont="1" applyFill="1" applyBorder="1" applyAlignment="1">
      <alignment horizontal="left"/>
    </xf>
    <xf numFmtId="0" fontId="25" fillId="0" borderId="0" xfId="0" applyFont="1" applyAlignment="1">
      <alignment horizontal="left"/>
    </xf>
    <xf numFmtId="0" fontId="28" fillId="23" borderId="0" xfId="0" applyFont="1" applyFill="1" applyBorder="1" applyAlignment="1">
      <alignment horizontal="left"/>
    </xf>
    <xf numFmtId="0" fontId="39" fillId="0" borderId="0" xfId="0" applyFont="1" applyAlignment="1">
      <alignment horizontal="left"/>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0" fontId="36" fillId="28" borderId="63" xfId="0" applyFont="1" applyFill="1" applyBorder="1" applyAlignment="1">
      <alignment horizontal="center"/>
    </xf>
    <xf numFmtId="0" fontId="36" fillId="28" borderId="64"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66" xfId="0" applyFont="1" applyFill="1" applyBorder="1" applyAlignment="1">
      <alignment horizontal="center"/>
    </xf>
  </cellXfs>
  <cellStyles count="46">
    <cellStyle name="Accent1 - 20%" xfId="2" xr:uid="{00000000-0005-0000-0000-000000000000}"/>
    <cellStyle name="Accent1 - 40%" xfId="3" xr:uid="{00000000-0005-0000-0000-000001000000}"/>
    <cellStyle name="Accent1 - 60%" xfId="4" xr:uid="{00000000-0005-0000-0000-000002000000}"/>
    <cellStyle name="Accent2 - 20%" xfId="6" xr:uid="{00000000-0005-0000-0000-000003000000}"/>
    <cellStyle name="Accent2 - 40%" xfId="7" xr:uid="{00000000-0005-0000-0000-000004000000}"/>
    <cellStyle name="Accent2 - 60%" xfId="8" xr:uid="{00000000-0005-0000-0000-000005000000}"/>
    <cellStyle name="Accent3 - 20%" xfId="10" xr:uid="{00000000-0005-0000-0000-000006000000}"/>
    <cellStyle name="Accent3 - 40%" xfId="11" xr:uid="{00000000-0005-0000-0000-000007000000}"/>
    <cellStyle name="Accent3 - 60%" xfId="12" xr:uid="{00000000-0005-0000-0000-000008000000}"/>
    <cellStyle name="Accent4 - 20%" xfId="14" xr:uid="{00000000-0005-0000-0000-000009000000}"/>
    <cellStyle name="Accent4 - 40%" xfId="15" xr:uid="{00000000-0005-0000-0000-00000A000000}"/>
    <cellStyle name="Accent4 - 60%" xfId="16" xr:uid="{00000000-0005-0000-0000-00000B000000}"/>
    <cellStyle name="Accent5 - 20%" xfId="18" xr:uid="{00000000-0005-0000-0000-00000C000000}"/>
    <cellStyle name="Accent5 - 40%" xfId="19" xr:uid="{00000000-0005-0000-0000-00000D000000}"/>
    <cellStyle name="Accent5 - 60%" xfId="20" xr:uid="{00000000-0005-0000-0000-00000E000000}"/>
    <cellStyle name="Accent6 - 20%" xfId="22" xr:uid="{00000000-0005-0000-0000-00000F000000}"/>
    <cellStyle name="Accent6 - 40%" xfId="23" xr:uid="{00000000-0005-0000-0000-000010000000}"/>
    <cellStyle name="Accent6 - 60%" xfId="24" xr:uid="{00000000-0005-0000-0000-000011000000}"/>
    <cellStyle name="Emphasis 1" xfId="28" xr:uid="{00000000-0005-0000-0000-000012000000}"/>
    <cellStyle name="Emphasis 2" xfId="29" xr:uid="{00000000-0005-0000-0000-000013000000}"/>
    <cellStyle name="Emphasis 3" xfId="30" xr:uid="{00000000-0005-0000-0000-000014000000}"/>
    <cellStyle name="Normal 2" xfId="45" xr:uid="{00000000-0005-0000-0000-000015000000}"/>
    <cellStyle name="Sheet Title" xfId="42" xr:uid="{00000000-0005-0000-0000-000016000000}"/>
    <cellStyle name="标题 1" xfId="32" builtinId="16" customBuiltin="1"/>
    <cellStyle name="标题 2" xfId="33" builtinId="17" customBuiltin="1"/>
    <cellStyle name="标题 3" xfId="34" builtinId="18" customBuiltin="1"/>
    <cellStyle name="标题 4" xfId="35" builtinId="19" customBuiltin="1"/>
    <cellStyle name="差" xfId="25" builtinId="27" customBuiltin="1"/>
    <cellStyle name="常规" xfId="0" builtinId="0"/>
    <cellStyle name="超链接" xfId="36" builtinId="8"/>
    <cellStyle name="好" xfId="31" builtinId="26" customBuiltin="1"/>
    <cellStyle name="汇总" xfId="43" builtinId="25" customBuiltin="1"/>
    <cellStyle name="计算" xfId="26" builtinId="22" customBuiltin="1"/>
    <cellStyle name="检查单元格" xfId="27" builtinId="23" customBuiltin="1"/>
    <cellStyle name="警告文本" xfId="44" builtinId="11" customBuiltin="1"/>
    <cellStyle name="链接单元格" xfId="38" builtinId="24" customBuiltin="1"/>
    <cellStyle name="适中" xfId="39" builtinId="28" customBuiltin="1"/>
    <cellStyle name="输出" xfId="41" builtinId="21" customBuiltin="1"/>
    <cellStyle name="输入" xfId="37" builtinId="20" customBuiltin="1"/>
    <cellStyle name="着色 1" xfId="1" builtinId="29" customBuiltin="1"/>
    <cellStyle name="着色 2" xfId="5" builtinId="33" customBuiltin="1"/>
    <cellStyle name="着色 3" xfId="9" builtinId="37" customBuiltin="1"/>
    <cellStyle name="着色 4" xfId="13" builtinId="41" customBuiltin="1"/>
    <cellStyle name="着色 5" xfId="17" builtinId="45" customBuiltin="1"/>
    <cellStyle name="着色 6" xfId="21" builtinId="49" customBuiltin="1"/>
    <cellStyle name="注释" xfId="40" builtinId="10" customBuiltin="1"/>
  </cellStyles>
  <dxfs count="91">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lor rgb="FF00B0F0"/>
      </font>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22"/>
      </font>
      <fill>
        <patternFill patternType="solid">
          <fgColor indexed="22"/>
          <bgColor indexed="2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lightDown">
          <fgColor indexed="22"/>
          <bgColor indexed="65"/>
        </patternFill>
      </fill>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22"/>
      </font>
      <fill>
        <patternFill patternType="solid">
          <fgColor indexed="22"/>
          <bgColor indexed="2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lightDown">
          <fgColor indexed="22"/>
          <bgColor indexed="65"/>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ont>
        <condense val="0"/>
        <extend val="0"/>
        <u/>
        <color indexed="44"/>
      </font>
    </dxf>
    <dxf>
      <font>
        <condense val="0"/>
        <extend val="0"/>
        <color auto="1"/>
      </font>
      <fill>
        <patternFill patternType="solid">
          <fgColor indexed="64"/>
          <bgColor indexed="9"/>
        </patternFill>
      </fill>
    </dxf>
    <dxf>
      <font>
        <color rgb="FF00B0F0"/>
      </font>
    </dxf>
    <dxf>
      <font>
        <color rgb="FF00B0F0"/>
      </font>
    </dxf>
    <dxf>
      <font>
        <color rgb="FF00B0F0"/>
      </font>
    </dxf>
    <dxf>
      <font>
        <color rgb="FF00B0F0"/>
      </font>
    </dxf>
    <dxf>
      <font>
        <color rgb="FF00B0F0"/>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Workitem Cumulative Flow</a:t>
            </a:r>
          </a:p>
        </c:rich>
      </c:tx>
      <c:layout>
        <c:manualLayout>
          <c:xMode val="edge"/>
          <c:yMode val="edge"/>
          <c:x val="0.17820495514983886"/>
          <c:y val="6.8650324369831123E-2"/>
        </c:manualLayout>
      </c:layout>
      <c:overlay val="0"/>
    </c:title>
    <c:autoTitleDeleted val="0"/>
    <c:plotArea>
      <c:layout>
        <c:manualLayout>
          <c:layoutTarget val="inner"/>
          <c:xMode val="edge"/>
          <c:yMode val="edge"/>
          <c:x val="0.12226840875659779"/>
          <c:y val="0.24528341504481754"/>
          <c:w val="0.58462818951754747"/>
          <c:h val="0.44151024747613016"/>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Analysis!$E$37:$AH$37</c:f>
              <c:numCache>
                <c:formatCode>General</c:formatCode>
                <c:ptCount val="30"/>
                <c:pt idx="0">
                  <c:v>3</c:v>
                </c:pt>
                <c:pt idx="1">
                  <c:v>3</c:v>
                </c:pt>
                <c:pt idx="2">
                  <c:v>3</c:v>
                </c:pt>
                <c:pt idx="3">
                  <c:v>3</c:v>
                </c:pt>
                <c:pt idx="4">
                  <c:v>4</c:v>
                </c:pt>
                <c:pt idx="5">
                  <c:v>5</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0-2B69-4777-9AE2-D6189E60CA0D}"/>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Analysis!$E$36:$AH$36</c:f>
              <c:numCache>
                <c:formatCode>General</c:formatCode>
                <c:ptCount val="30"/>
                <c:pt idx="0">
                  <c:v>0</c:v>
                </c:pt>
                <c:pt idx="1">
                  <c:v>1</c:v>
                </c:pt>
                <c:pt idx="2">
                  <c:v>1</c:v>
                </c:pt>
                <c:pt idx="3">
                  <c:v>1</c:v>
                </c:pt>
                <c:pt idx="4">
                  <c:v>2</c:v>
                </c:pt>
                <c:pt idx="5">
                  <c:v>2</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1-2B69-4777-9AE2-D6189E60CA0D}"/>
            </c:ext>
          </c:extLst>
        </c:ser>
        <c:ser>
          <c:idx val="2"/>
          <c:order val="2"/>
          <c:tx>
            <c:v>Pending</c:v>
          </c:tx>
          <c:spPr>
            <a:solidFill>
              <a:schemeClr val="bg1"/>
            </a:solidFill>
          </c:spPr>
          <c:val>
            <c:numRef>
              <c:f>Analysis!$E$35:$AH$35</c:f>
              <c:numCache>
                <c:formatCode>General</c:formatCode>
                <c:ptCount val="30"/>
                <c:pt idx="0">
                  <c:v>4</c:v>
                </c:pt>
                <c:pt idx="1">
                  <c:v>3</c:v>
                </c:pt>
                <c:pt idx="2">
                  <c:v>3</c:v>
                </c:pt>
                <c:pt idx="3">
                  <c:v>3</c:v>
                </c:pt>
                <c:pt idx="4">
                  <c:v>1</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2-2B69-4777-9AE2-D6189E60CA0D}"/>
            </c:ext>
          </c:extLst>
        </c:ser>
        <c:dLbls>
          <c:showLegendKey val="0"/>
          <c:showVal val="0"/>
          <c:showCatName val="0"/>
          <c:showSerName val="0"/>
          <c:showPercent val="0"/>
          <c:showBubbleSize val="0"/>
        </c:dLbls>
        <c:axId val="46102784"/>
        <c:axId val="46117632"/>
      </c:areaChart>
      <c:catAx>
        <c:axId val="46102784"/>
        <c:scaling>
          <c:orientation val="minMax"/>
        </c:scaling>
        <c:delete val="0"/>
        <c:axPos val="b"/>
        <c:title>
          <c:tx>
            <c:rich>
              <a:bodyPr/>
              <a:lstStyle/>
              <a:p>
                <a:pPr>
                  <a:defRPr/>
                </a:pPr>
                <a:r>
                  <a:rPr lang="en-US"/>
                  <a:t>Sprint Days</a:t>
                </a:r>
              </a:p>
            </c:rich>
          </c:tx>
          <c:layout>
            <c:manualLayout>
              <c:xMode val="edge"/>
              <c:yMode val="edge"/>
              <c:x val="0.38552437223043612"/>
              <c:y val="0.86057692307692257"/>
            </c:manualLayout>
          </c:layout>
          <c:overlay val="0"/>
        </c:title>
        <c:numFmt formatCode="General" sourceLinked="0"/>
        <c:majorTickMark val="out"/>
        <c:minorTickMark val="none"/>
        <c:tickLblPos val="nextTo"/>
        <c:txPr>
          <a:bodyPr rot="-2700000" vert="horz"/>
          <a:lstStyle/>
          <a:p>
            <a:pPr>
              <a:defRPr/>
            </a:pPr>
            <a:endParaRPr lang="zh-CN"/>
          </a:p>
        </c:txPr>
        <c:crossAx val="46117632"/>
        <c:crosses val="autoZero"/>
        <c:auto val="1"/>
        <c:lblAlgn val="ctr"/>
        <c:lblOffset val="100"/>
        <c:tickLblSkip val="3"/>
        <c:tickMarkSkip val="1"/>
        <c:noMultiLvlLbl val="1"/>
      </c:catAx>
      <c:valAx>
        <c:axId val="46117632"/>
        <c:scaling>
          <c:orientation val="minMax"/>
          <c:min val="0"/>
        </c:scaling>
        <c:delete val="0"/>
        <c:axPos val="l"/>
        <c:majorGridlines/>
        <c:title>
          <c:tx>
            <c:rich>
              <a:bodyPr/>
              <a:lstStyle/>
              <a:p>
                <a:pPr>
                  <a:defRPr/>
                </a:pPr>
                <a:r>
                  <a:rPr lang="en-US"/>
                  <a:t>Number of Work Items</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46102784"/>
        <c:crossesAt val="1"/>
        <c:crossBetween val="midCat"/>
        <c:majorUnit val="2"/>
        <c:minorUnit val="1"/>
      </c:valAx>
      <c:spPr>
        <a:solidFill>
          <a:srgbClr val="FFFFFF"/>
        </a:solidFill>
      </c:spPr>
    </c:plotArea>
    <c:legend>
      <c:legendPos val="r"/>
      <c:layout>
        <c:manualLayout>
          <c:xMode val="edge"/>
          <c:yMode val="edge"/>
          <c:x val="0.73776562545066482"/>
          <c:y val="0.24485356311593126"/>
          <c:w val="0.20500798938594397"/>
          <c:h val="0.46747090575942929"/>
        </c:manualLayout>
      </c:layout>
      <c:overlay val="0"/>
    </c:legend>
    <c:plotVisOnly val="1"/>
    <c:dispBlanksAs val="zero"/>
    <c:showDLblsOverMax val="0"/>
  </c:chart>
  <c:spPr>
    <a:solidFill>
      <a:srgbClr val="FFFFFF"/>
    </a:solidFill>
  </c:spPr>
  <c:printSettings>
    <c:headerFooter/>
    <c:pageMargins b="0.75000000000000699" l="0.70000000000000062" r="0.70000000000000062" t="0.75000000000000699"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191861310993504"/>
          <c:y val="0.1729323308270721"/>
          <c:w val="0.72106640804940825"/>
          <c:h val="0.47368421052631576"/>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Analysis!$E$33:$AH$33</c:f>
              <c:numCache>
                <c:formatCode>General</c:formatCode>
                <c:ptCount val="30"/>
                <c:pt idx="0">
                  <c:v>5</c:v>
                </c:pt>
                <c:pt idx="1">
                  <c:v>5</c:v>
                </c:pt>
                <c:pt idx="2">
                  <c:v>5</c:v>
                </c:pt>
                <c:pt idx="3">
                  <c:v>5</c:v>
                </c:pt>
                <c:pt idx="4">
                  <c:v>6</c:v>
                </c:pt>
                <c:pt idx="5">
                  <c:v>7</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0-D0D8-418A-968C-0C9CD52F767C}"/>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Analysis!$E$32:$AH$32</c:f>
              <c:numCache>
                <c:formatCode>0</c:formatCode>
                <c:ptCount val="30"/>
                <c:pt idx="0">
                  <c:v>0</c:v>
                </c:pt>
                <c:pt idx="1">
                  <c:v>8</c:v>
                </c:pt>
                <c:pt idx="2">
                  <c:v>8</c:v>
                </c:pt>
                <c:pt idx="3">
                  <c:v>8</c:v>
                </c:pt>
                <c:pt idx="4">
                  <c:v>24</c:v>
                </c:pt>
                <c:pt idx="5">
                  <c:v>24</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1-D0D8-418A-968C-0C9CD52F767C}"/>
            </c:ext>
          </c:extLst>
        </c:ser>
        <c:ser>
          <c:idx val="2"/>
          <c:order val="2"/>
          <c:tx>
            <c:v>Pending</c:v>
          </c:tx>
          <c:spPr>
            <a:solidFill>
              <a:schemeClr val="bg1"/>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Analysis!$E$31:$AH$31</c:f>
              <c:numCache>
                <c:formatCode>General</c:formatCode>
                <c:ptCount val="30"/>
                <c:pt idx="0">
                  <c:v>26</c:v>
                </c:pt>
                <c:pt idx="1">
                  <c:v>18</c:v>
                </c:pt>
                <c:pt idx="2">
                  <c:v>18</c:v>
                </c:pt>
                <c:pt idx="3">
                  <c:v>18</c:v>
                </c:pt>
                <c:pt idx="4">
                  <c:v>1</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2-D0D8-418A-968C-0C9CD52F767C}"/>
            </c:ext>
          </c:extLst>
        </c:ser>
        <c:dLbls>
          <c:showLegendKey val="0"/>
          <c:showVal val="0"/>
          <c:showCatName val="0"/>
          <c:showSerName val="0"/>
          <c:showPercent val="0"/>
          <c:showBubbleSize val="0"/>
        </c:dLbls>
        <c:axId val="46650496"/>
        <c:axId val="46652416"/>
      </c:areaChart>
      <c:lineChart>
        <c:grouping val="standard"/>
        <c:varyColors val="0"/>
        <c:ser>
          <c:idx val="3"/>
          <c:order val="3"/>
          <c:tx>
            <c:v>Remaining</c:v>
          </c:tx>
          <c:spPr>
            <a:ln>
              <a:solidFill>
                <a:schemeClr val="accent2"/>
              </a:solidFill>
            </a:ln>
          </c:spPr>
          <c:marker>
            <c:spPr>
              <a:ln>
                <a:solidFill>
                  <a:srgbClr val="C0504D"/>
                </a:solidFill>
              </a:ln>
            </c:spPr>
          </c:marker>
          <c:trendline>
            <c:trendlineType val="linear"/>
            <c:dispRSqr val="0"/>
            <c:dispEq val="0"/>
          </c:trendline>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Analysis!$E$22:$AH$22</c:f>
              <c:numCache>
                <c:formatCode>General</c:formatCode>
                <c:ptCount val="30"/>
                <c:pt idx="0">
                  <c:v>26</c:v>
                </c:pt>
                <c:pt idx="1">
                  <c:v>25</c:v>
                </c:pt>
                <c:pt idx="2">
                  <c:v>22</c:v>
                </c:pt>
                <c:pt idx="3">
                  <c:v>22</c:v>
                </c:pt>
                <c:pt idx="4">
                  <c:v>17</c:v>
                </c:pt>
                <c:pt idx="5">
                  <c:v>16</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extLst>
            <c:ext xmlns:c16="http://schemas.microsoft.com/office/drawing/2014/chart" uri="{C3380CC4-5D6E-409C-BE32-E72D297353CC}">
              <c16:uniqueId val="{00000003-D0D8-418A-968C-0C9CD52F767C}"/>
            </c:ext>
          </c:extLst>
        </c:ser>
        <c:ser>
          <c:idx val="4"/>
          <c:order val="4"/>
          <c:tx>
            <c:v>Effort</c:v>
          </c:tx>
          <c:spPr>
            <a:ln>
              <a:solidFill>
                <a:schemeClr val="accent1"/>
              </a:solidFill>
            </a:ln>
          </c:spPr>
          <c:val>
            <c:numRef>
              <c:f>Analysis!$E$24:$AH$24</c:f>
              <c:numCache>
                <c:formatCode>General</c:formatCode>
                <c:ptCount val="30"/>
                <c:pt idx="0">
                  <c:v>5</c:v>
                </c:pt>
                <c:pt idx="1">
                  <c:v>6</c:v>
                </c:pt>
                <c:pt idx="2">
                  <c:v>9</c:v>
                </c:pt>
                <c:pt idx="3">
                  <c:v>9</c:v>
                </c:pt>
                <c:pt idx="4">
                  <c:v>14</c:v>
                </c:pt>
                <c:pt idx="5">
                  <c:v>15</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smooth val="0"/>
          <c:extLst>
            <c:ext xmlns:c16="http://schemas.microsoft.com/office/drawing/2014/chart" uri="{C3380CC4-5D6E-409C-BE32-E72D297353CC}">
              <c16:uniqueId val="{00000004-D0D8-418A-968C-0C9CD52F767C}"/>
            </c:ext>
          </c:extLst>
        </c:ser>
        <c:dLbls>
          <c:showLegendKey val="0"/>
          <c:showVal val="0"/>
          <c:showCatName val="0"/>
          <c:showSerName val="0"/>
          <c:showPercent val="0"/>
          <c:showBubbleSize val="0"/>
        </c:dLbls>
        <c:marker val="1"/>
        <c:smooth val="0"/>
        <c:axId val="46650496"/>
        <c:axId val="46652416"/>
      </c:lineChart>
      <c:catAx>
        <c:axId val="46650496"/>
        <c:scaling>
          <c:orientation val="minMax"/>
        </c:scaling>
        <c:delete val="0"/>
        <c:axPos val="b"/>
        <c:title>
          <c:tx>
            <c:rich>
              <a:bodyPr/>
              <a:lstStyle/>
              <a:p>
                <a:pPr>
                  <a:defRPr/>
                </a:pPr>
                <a:r>
                  <a:rPr lang="en-US"/>
                  <a:t>Sprint Days</a:t>
                </a:r>
              </a:p>
            </c:rich>
          </c:tx>
          <c:layout>
            <c:manualLayout>
              <c:xMode val="edge"/>
              <c:yMode val="edge"/>
              <c:x val="0.37047353760446383"/>
              <c:y val="0.86570743405275785"/>
            </c:manualLayout>
          </c:layout>
          <c:overlay val="0"/>
        </c:title>
        <c:numFmt formatCode="General" sourceLinked="0"/>
        <c:majorTickMark val="out"/>
        <c:minorTickMark val="none"/>
        <c:tickLblPos val="nextTo"/>
        <c:txPr>
          <a:bodyPr rot="-2700000" vert="horz"/>
          <a:lstStyle/>
          <a:p>
            <a:pPr>
              <a:defRPr/>
            </a:pPr>
            <a:endParaRPr lang="zh-CN"/>
          </a:p>
        </c:txPr>
        <c:crossAx val="46652416"/>
        <c:crosses val="autoZero"/>
        <c:auto val="1"/>
        <c:lblAlgn val="ctr"/>
        <c:lblOffset val="100"/>
        <c:tickLblSkip val="3"/>
        <c:tickMarkSkip val="1"/>
        <c:noMultiLvlLbl val="1"/>
      </c:catAx>
      <c:valAx>
        <c:axId val="46652416"/>
        <c:scaling>
          <c:orientation val="minMax"/>
          <c:min val="0"/>
        </c:scaling>
        <c:delete val="0"/>
        <c:axPos val="l"/>
        <c:majorGridlines/>
        <c:title>
          <c:tx>
            <c:rich>
              <a:bodyPr/>
              <a:lstStyle/>
              <a:p>
                <a:pPr>
                  <a:defRPr/>
                </a:pPr>
                <a:r>
                  <a:rPr lang="en-US"/>
                  <a:t>Workitem Hours</a:t>
                </a:r>
              </a:p>
            </c:rich>
          </c:tx>
          <c:layout>
            <c:manualLayout>
              <c:xMode val="edge"/>
              <c:yMode val="edge"/>
              <c:x val="3.2497678737233096E-2"/>
              <c:y val="0.27817745803357313"/>
            </c:manualLayout>
          </c:layout>
          <c:overlay val="0"/>
        </c:title>
        <c:numFmt formatCode="General" sourceLinked="1"/>
        <c:majorTickMark val="out"/>
        <c:minorTickMark val="none"/>
        <c:tickLblPos val="nextTo"/>
        <c:txPr>
          <a:bodyPr rot="0" vert="horz"/>
          <a:lstStyle/>
          <a:p>
            <a:pPr>
              <a:defRPr/>
            </a:pPr>
            <a:endParaRPr lang="zh-CN"/>
          </a:p>
        </c:txPr>
        <c:crossAx val="46650496"/>
        <c:crossesAt val="1"/>
        <c:crossBetween val="midCat"/>
      </c:valAx>
      <c:spPr>
        <a:solidFill>
          <a:srgbClr val="FFFFFF"/>
        </a:solidFill>
      </c:spPr>
    </c:plotArea>
    <c:legend>
      <c:legendPos val="r"/>
      <c:layout>
        <c:manualLayout>
          <c:xMode val="edge"/>
          <c:yMode val="edge"/>
          <c:x val="0.85515326603570363"/>
          <c:y val="0.16635131134923922"/>
          <c:w val="0.13741881036241133"/>
          <c:h val="0.57921772936277649"/>
        </c:manualLayout>
      </c:layout>
      <c:overlay val="0"/>
    </c:legend>
    <c:plotVisOnly val="1"/>
    <c:dispBlanksAs val="zero"/>
    <c:showDLblsOverMax val="0"/>
  </c:chart>
  <c:spPr>
    <a:solidFill>
      <a:srgbClr val="FFFFFF"/>
    </a:solidFill>
  </c:spPr>
  <c:printSettings>
    <c:headerFooter/>
    <c:pageMargins b="0.75000000000000699" l="0.70000000000000062" r="0.70000000000000062" t="0.75000000000000699"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Reports'!$A$3</c:f>
              <c:strCache>
                <c:ptCount val="1"/>
                <c:pt idx="0">
                  <c:v>Feature</c:v>
                </c:pt>
              </c:strCache>
            </c:strRef>
          </c:tx>
          <c:invertIfNegative val="0"/>
          <c:val>
            <c:numRef>
              <c:f>'Project Specific Reports'!$B$3</c:f>
              <c:numCache>
                <c:formatCode>General</c:formatCode>
                <c:ptCount val="1"/>
                <c:pt idx="0">
                  <c:v>0</c:v>
                </c:pt>
              </c:numCache>
            </c:numRef>
          </c:val>
          <c:extLst>
            <c:ext xmlns:c16="http://schemas.microsoft.com/office/drawing/2014/chart" uri="{C3380CC4-5D6E-409C-BE32-E72D297353CC}">
              <c16:uniqueId val="{00000000-0769-4E25-8876-3397BC41CD93}"/>
            </c:ext>
          </c:extLst>
        </c:ser>
        <c:ser>
          <c:idx val="1"/>
          <c:order val="1"/>
          <c:tx>
            <c:strRef>
              <c:f>'Project Specific Reports'!$A$4</c:f>
              <c:strCache>
                <c:ptCount val="1"/>
                <c:pt idx="0">
                  <c:v>Tax</c:v>
                </c:pt>
              </c:strCache>
            </c:strRef>
          </c:tx>
          <c:invertIfNegative val="0"/>
          <c:val>
            <c:numRef>
              <c:f>'Project Specific Reports'!$B$4</c:f>
              <c:numCache>
                <c:formatCode>General</c:formatCode>
                <c:ptCount val="1"/>
                <c:pt idx="0">
                  <c:v>0</c:v>
                </c:pt>
              </c:numCache>
            </c:numRef>
          </c:val>
          <c:extLst>
            <c:ext xmlns:c16="http://schemas.microsoft.com/office/drawing/2014/chart" uri="{C3380CC4-5D6E-409C-BE32-E72D297353CC}">
              <c16:uniqueId val="{00000001-0769-4E25-8876-3397BC41CD93}"/>
            </c:ext>
          </c:extLst>
        </c:ser>
        <c:ser>
          <c:idx val="2"/>
          <c:order val="2"/>
          <c:tx>
            <c:strRef>
              <c:f>'Project Specific Reports'!$A$5</c:f>
              <c:strCache>
                <c:ptCount val="1"/>
                <c:pt idx="0">
                  <c:v>Precondition</c:v>
                </c:pt>
              </c:strCache>
            </c:strRef>
          </c:tx>
          <c:invertIfNegative val="0"/>
          <c:val>
            <c:numRef>
              <c:f>'Project Specific Reports'!$B$5</c:f>
              <c:numCache>
                <c:formatCode>General</c:formatCode>
                <c:ptCount val="1"/>
                <c:pt idx="0">
                  <c:v>0</c:v>
                </c:pt>
              </c:numCache>
            </c:numRef>
          </c:val>
          <c:extLst>
            <c:ext xmlns:c16="http://schemas.microsoft.com/office/drawing/2014/chart" uri="{C3380CC4-5D6E-409C-BE32-E72D297353CC}">
              <c16:uniqueId val="{00000002-0769-4E25-8876-3397BC41CD93}"/>
            </c:ext>
          </c:extLst>
        </c:ser>
        <c:ser>
          <c:idx val="3"/>
          <c:order val="3"/>
          <c:tx>
            <c:strRef>
              <c:f>'Project Specific Reports'!$A$6</c:f>
              <c:strCache>
                <c:ptCount val="1"/>
                <c:pt idx="0">
                  <c:v>Spike</c:v>
                </c:pt>
              </c:strCache>
            </c:strRef>
          </c:tx>
          <c:invertIfNegative val="0"/>
          <c:val>
            <c:numRef>
              <c:f>'Project Specific Reports'!$B$6</c:f>
              <c:numCache>
                <c:formatCode>General</c:formatCode>
                <c:ptCount val="1"/>
                <c:pt idx="0">
                  <c:v>0</c:v>
                </c:pt>
              </c:numCache>
            </c:numRef>
          </c:val>
          <c:extLst>
            <c:ext xmlns:c16="http://schemas.microsoft.com/office/drawing/2014/chart" uri="{C3380CC4-5D6E-409C-BE32-E72D297353CC}">
              <c16:uniqueId val="{00000003-0769-4E25-8876-3397BC41CD93}"/>
            </c:ext>
          </c:extLst>
        </c:ser>
        <c:dLbls>
          <c:showLegendKey val="0"/>
          <c:showVal val="0"/>
          <c:showCatName val="0"/>
          <c:showSerName val="0"/>
          <c:showPercent val="0"/>
          <c:showBubbleSize val="0"/>
        </c:dLbls>
        <c:gapWidth val="150"/>
        <c:overlap val="100"/>
        <c:axId val="46880256"/>
        <c:axId val="46881792"/>
      </c:barChart>
      <c:catAx>
        <c:axId val="46880256"/>
        <c:scaling>
          <c:orientation val="minMax"/>
        </c:scaling>
        <c:delete val="0"/>
        <c:axPos val="b"/>
        <c:majorTickMark val="out"/>
        <c:minorTickMark val="none"/>
        <c:tickLblPos val="nextTo"/>
        <c:crossAx val="46881792"/>
        <c:crosses val="autoZero"/>
        <c:auto val="1"/>
        <c:lblAlgn val="ctr"/>
        <c:lblOffset val="100"/>
        <c:noMultiLvlLbl val="0"/>
      </c:catAx>
      <c:valAx>
        <c:axId val="46881792"/>
        <c:scaling>
          <c:orientation val="minMax"/>
        </c:scaling>
        <c:delete val="0"/>
        <c:axPos val="l"/>
        <c:majorGridlines/>
        <c:numFmt formatCode="0%" sourceLinked="1"/>
        <c:majorTickMark val="out"/>
        <c:minorTickMark val="none"/>
        <c:tickLblPos val="nextTo"/>
        <c:crossAx val="46880256"/>
        <c:crosses val="autoZero"/>
        <c:crossBetween val="between"/>
      </c:valAx>
    </c:plotArea>
    <c:legend>
      <c:legendPos val="r"/>
      <c:overlay val="0"/>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Reports'!$A$10</c:f>
              <c:strCache>
                <c:ptCount val="1"/>
                <c:pt idx="0">
                  <c:v>Data Model</c:v>
                </c:pt>
              </c:strCache>
            </c:strRef>
          </c:tx>
          <c:invertIfNegative val="0"/>
          <c:val>
            <c:numRef>
              <c:f>'Project Specific Reports'!$B$10</c:f>
              <c:numCache>
                <c:formatCode>General</c:formatCode>
                <c:ptCount val="1"/>
                <c:pt idx="0">
                  <c:v>0</c:v>
                </c:pt>
              </c:numCache>
            </c:numRef>
          </c:val>
          <c:extLst>
            <c:ext xmlns:c16="http://schemas.microsoft.com/office/drawing/2014/chart" uri="{C3380CC4-5D6E-409C-BE32-E72D297353CC}">
              <c16:uniqueId val="{00000000-97BE-46F9-8256-E459F310C91E}"/>
            </c:ext>
          </c:extLst>
        </c:ser>
        <c:ser>
          <c:idx val="1"/>
          <c:order val="1"/>
          <c:tx>
            <c:strRef>
              <c:f>'Project Specific Reports'!$A$11</c:f>
              <c:strCache>
                <c:ptCount val="1"/>
                <c:pt idx="0">
                  <c:v>Integration Model</c:v>
                </c:pt>
              </c:strCache>
            </c:strRef>
          </c:tx>
          <c:invertIfNegative val="0"/>
          <c:val>
            <c:numRef>
              <c:f>'Project Specific Reports'!$B$11</c:f>
              <c:numCache>
                <c:formatCode>General</c:formatCode>
                <c:ptCount val="1"/>
                <c:pt idx="0">
                  <c:v>0</c:v>
                </c:pt>
              </c:numCache>
            </c:numRef>
          </c:val>
          <c:extLst>
            <c:ext xmlns:c16="http://schemas.microsoft.com/office/drawing/2014/chart" uri="{C3380CC4-5D6E-409C-BE32-E72D297353CC}">
              <c16:uniqueId val="{00000001-97BE-46F9-8256-E459F310C91E}"/>
            </c:ext>
          </c:extLst>
        </c:ser>
        <c:ser>
          <c:idx val="2"/>
          <c:order val="2"/>
          <c:tx>
            <c:strRef>
              <c:f>'Project Specific Reports'!$A$12</c:f>
              <c:strCache>
                <c:ptCount val="1"/>
                <c:pt idx="0">
                  <c:v>System Frameworks</c:v>
                </c:pt>
              </c:strCache>
            </c:strRef>
          </c:tx>
          <c:invertIfNegative val="0"/>
          <c:val>
            <c:numRef>
              <c:f>'Project Specific Reports'!$B$12</c:f>
              <c:numCache>
                <c:formatCode>General</c:formatCode>
                <c:ptCount val="1"/>
                <c:pt idx="0">
                  <c:v>0</c:v>
                </c:pt>
              </c:numCache>
            </c:numRef>
          </c:val>
          <c:extLst>
            <c:ext xmlns:c16="http://schemas.microsoft.com/office/drawing/2014/chart" uri="{C3380CC4-5D6E-409C-BE32-E72D297353CC}">
              <c16:uniqueId val="{00000002-97BE-46F9-8256-E459F310C91E}"/>
            </c:ext>
          </c:extLst>
        </c:ser>
        <c:ser>
          <c:idx val="3"/>
          <c:order val="3"/>
          <c:tx>
            <c:strRef>
              <c:f>'Project Specific Reports'!$A$13</c:f>
              <c:strCache>
                <c:ptCount val="1"/>
                <c:pt idx="0">
                  <c:v>Data Conversions</c:v>
                </c:pt>
              </c:strCache>
            </c:strRef>
          </c:tx>
          <c:invertIfNegative val="0"/>
          <c:val>
            <c:numRef>
              <c:f>'Project Specific Reports'!$B$13</c:f>
              <c:numCache>
                <c:formatCode>General</c:formatCode>
                <c:ptCount val="1"/>
                <c:pt idx="0">
                  <c:v>0</c:v>
                </c:pt>
              </c:numCache>
            </c:numRef>
          </c:val>
          <c:extLst>
            <c:ext xmlns:c16="http://schemas.microsoft.com/office/drawing/2014/chart" uri="{C3380CC4-5D6E-409C-BE32-E72D297353CC}">
              <c16:uniqueId val="{00000003-97BE-46F9-8256-E459F310C91E}"/>
            </c:ext>
          </c:extLst>
        </c:ser>
        <c:ser>
          <c:idx val="4"/>
          <c:order val="4"/>
          <c:tx>
            <c:strRef>
              <c:f>'Project Specific Reports'!$A$14</c:f>
              <c:strCache>
                <c:ptCount val="1"/>
                <c:pt idx="0">
                  <c:v>Security</c:v>
                </c:pt>
              </c:strCache>
            </c:strRef>
          </c:tx>
          <c:invertIfNegative val="0"/>
          <c:val>
            <c:numRef>
              <c:f>'Project Specific Reports'!$B$14</c:f>
              <c:numCache>
                <c:formatCode>General</c:formatCode>
                <c:ptCount val="1"/>
                <c:pt idx="0">
                  <c:v>0</c:v>
                </c:pt>
              </c:numCache>
            </c:numRef>
          </c:val>
          <c:extLst>
            <c:ext xmlns:c16="http://schemas.microsoft.com/office/drawing/2014/chart" uri="{C3380CC4-5D6E-409C-BE32-E72D297353CC}">
              <c16:uniqueId val="{00000004-97BE-46F9-8256-E459F310C91E}"/>
            </c:ext>
          </c:extLst>
        </c:ser>
        <c:ser>
          <c:idx val="5"/>
          <c:order val="5"/>
          <c:tx>
            <c:strRef>
              <c:f>'Project Specific Reports'!$A$15</c:f>
              <c:strCache>
                <c:ptCount val="1"/>
                <c:pt idx="0">
                  <c:v>Cash Payment Tracking</c:v>
                </c:pt>
              </c:strCache>
            </c:strRef>
          </c:tx>
          <c:invertIfNegative val="0"/>
          <c:val>
            <c:numRef>
              <c:f>'Project Specific Reports'!$B$15</c:f>
              <c:numCache>
                <c:formatCode>General</c:formatCode>
                <c:ptCount val="1"/>
                <c:pt idx="0">
                  <c:v>0</c:v>
                </c:pt>
              </c:numCache>
            </c:numRef>
          </c:val>
          <c:extLst>
            <c:ext xmlns:c16="http://schemas.microsoft.com/office/drawing/2014/chart" uri="{C3380CC4-5D6E-409C-BE32-E72D297353CC}">
              <c16:uniqueId val="{00000005-97BE-46F9-8256-E459F310C91E}"/>
            </c:ext>
          </c:extLst>
        </c:ser>
        <c:ser>
          <c:idx val="6"/>
          <c:order val="6"/>
          <c:tx>
            <c:strRef>
              <c:f>'Project Specific Reports'!$A$16</c:f>
              <c:strCache>
                <c:ptCount val="1"/>
                <c:pt idx="0">
                  <c:v>Views</c:v>
                </c:pt>
              </c:strCache>
            </c:strRef>
          </c:tx>
          <c:invertIfNegative val="0"/>
          <c:val>
            <c:numRef>
              <c:f>'Project Specific Reports'!$B$16</c:f>
              <c:numCache>
                <c:formatCode>General</c:formatCode>
                <c:ptCount val="1"/>
                <c:pt idx="0">
                  <c:v>0</c:v>
                </c:pt>
              </c:numCache>
            </c:numRef>
          </c:val>
          <c:extLst>
            <c:ext xmlns:c16="http://schemas.microsoft.com/office/drawing/2014/chart" uri="{C3380CC4-5D6E-409C-BE32-E72D297353CC}">
              <c16:uniqueId val="{00000006-97BE-46F9-8256-E459F310C91E}"/>
            </c:ext>
          </c:extLst>
        </c:ser>
        <c:ser>
          <c:idx val="7"/>
          <c:order val="7"/>
          <c:tx>
            <c:strRef>
              <c:f>'Project Specific Reports'!$A$17</c:f>
              <c:strCache>
                <c:ptCount val="1"/>
                <c:pt idx="0">
                  <c:v>Lookups</c:v>
                </c:pt>
              </c:strCache>
            </c:strRef>
          </c:tx>
          <c:invertIfNegative val="0"/>
          <c:val>
            <c:numRef>
              <c:f>'Project Specific Reports'!$B$17</c:f>
              <c:numCache>
                <c:formatCode>General</c:formatCode>
                <c:ptCount val="1"/>
                <c:pt idx="0">
                  <c:v>0</c:v>
                </c:pt>
              </c:numCache>
            </c:numRef>
          </c:val>
          <c:extLst>
            <c:ext xmlns:c16="http://schemas.microsoft.com/office/drawing/2014/chart" uri="{C3380CC4-5D6E-409C-BE32-E72D297353CC}">
              <c16:uniqueId val="{00000007-97BE-46F9-8256-E459F310C91E}"/>
            </c:ext>
          </c:extLst>
        </c:ser>
        <c:ser>
          <c:idx val="8"/>
          <c:order val="8"/>
          <c:tx>
            <c:strRef>
              <c:f>'Project Specific Reports'!$A$18</c:f>
              <c:strCache>
                <c:ptCount val="1"/>
                <c:pt idx="0">
                  <c:v>Detail screens</c:v>
                </c:pt>
              </c:strCache>
            </c:strRef>
          </c:tx>
          <c:invertIfNegative val="0"/>
          <c:val>
            <c:numRef>
              <c:f>'Project Specific Reports'!$B$18</c:f>
              <c:numCache>
                <c:formatCode>General</c:formatCode>
                <c:ptCount val="1"/>
                <c:pt idx="0">
                  <c:v>0</c:v>
                </c:pt>
              </c:numCache>
            </c:numRef>
          </c:val>
          <c:extLst>
            <c:ext xmlns:c16="http://schemas.microsoft.com/office/drawing/2014/chart" uri="{C3380CC4-5D6E-409C-BE32-E72D297353CC}">
              <c16:uniqueId val="{00000008-97BE-46F9-8256-E459F310C91E}"/>
            </c:ext>
          </c:extLst>
        </c:ser>
        <c:ser>
          <c:idx val="9"/>
          <c:order val="9"/>
          <c:tx>
            <c:strRef>
              <c:f>'Project Specific Reports'!$A$19</c:f>
              <c:strCache>
                <c:ptCount val="1"/>
                <c:pt idx="0">
                  <c:v>Notifications</c:v>
                </c:pt>
              </c:strCache>
            </c:strRef>
          </c:tx>
          <c:invertIfNegative val="0"/>
          <c:val>
            <c:numRef>
              <c:f>'Project Specific Reports'!$B$19</c:f>
              <c:numCache>
                <c:formatCode>General</c:formatCode>
                <c:ptCount val="1"/>
                <c:pt idx="0">
                  <c:v>0</c:v>
                </c:pt>
              </c:numCache>
            </c:numRef>
          </c:val>
          <c:extLst>
            <c:ext xmlns:c16="http://schemas.microsoft.com/office/drawing/2014/chart" uri="{C3380CC4-5D6E-409C-BE32-E72D297353CC}">
              <c16:uniqueId val="{00000009-97BE-46F9-8256-E459F310C91E}"/>
            </c:ext>
          </c:extLst>
        </c:ser>
        <c:ser>
          <c:idx val="10"/>
          <c:order val="10"/>
          <c:tx>
            <c:strRef>
              <c:f>'Project Specific Reports'!$A$20</c:f>
              <c:strCache>
                <c:ptCount val="1"/>
                <c:pt idx="0">
                  <c:v>Reports</c:v>
                </c:pt>
              </c:strCache>
            </c:strRef>
          </c:tx>
          <c:invertIfNegative val="0"/>
          <c:val>
            <c:numRef>
              <c:f>'Project Specific Reports'!$B$20</c:f>
              <c:numCache>
                <c:formatCode>General</c:formatCode>
                <c:ptCount val="1"/>
                <c:pt idx="0">
                  <c:v>0</c:v>
                </c:pt>
              </c:numCache>
            </c:numRef>
          </c:val>
          <c:extLst>
            <c:ext xmlns:c16="http://schemas.microsoft.com/office/drawing/2014/chart" uri="{C3380CC4-5D6E-409C-BE32-E72D297353CC}">
              <c16:uniqueId val="{0000000A-97BE-46F9-8256-E459F310C91E}"/>
            </c:ext>
          </c:extLst>
        </c:ser>
        <c:ser>
          <c:idx val="11"/>
          <c:order val="11"/>
          <c:tx>
            <c:strRef>
              <c:f>'Project Specific Reports'!$A$21</c:f>
              <c:strCache>
                <c:ptCount val="1"/>
                <c:pt idx="0">
                  <c:v>Installation Package</c:v>
                </c:pt>
              </c:strCache>
            </c:strRef>
          </c:tx>
          <c:invertIfNegative val="0"/>
          <c:val>
            <c:numRef>
              <c:f>'Project Specific Reports'!$B$21</c:f>
              <c:numCache>
                <c:formatCode>General</c:formatCode>
                <c:ptCount val="1"/>
                <c:pt idx="0">
                  <c:v>0</c:v>
                </c:pt>
              </c:numCache>
            </c:numRef>
          </c:val>
          <c:extLst>
            <c:ext xmlns:c16="http://schemas.microsoft.com/office/drawing/2014/chart" uri="{C3380CC4-5D6E-409C-BE32-E72D297353CC}">
              <c16:uniqueId val="{0000000B-97BE-46F9-8256-E459F310C91E}"/>
            </c:ext>
          </c:extLst>
        </c:ser>
        <c:ser>
          <c:idx val="12"/>
          <c:order val="12"/>
          <c:tx>
            <c:strRef>
              <c:f>'Project Specific Reports'!$A$22</c:f>
              <c:strCache>
                <c:ptCount val="1"/>
                <c:pt idx="0">
                  <c:v>Deployment</c:v>
                </c:pt>
              </c:strCache>
            </c:strRef>
          </c:tx>
          <c:invertIfNegative val="0"/>
          <c:val>
            <c:numRef>
              <c:f>'Project Specific Reports'!$B$22</c:f>
              <c:numCache>
                <c:formatCode>General</c:formatCode>
                <c:ptCount val="1"/>
                <c:pt idx="0">
                  <c:v>0</c:v>
                </c:pt>
              </c:numCache>
            </c:numRef>
          </c:val>
          <c:extLst>
            <c:ext xmlns:c16="http://schemas.microsoft.com/office/drawing/2014/chart" uri="{C3380CC4-5D6E-409C-BE32-E72D297353CC}">
              <c16:uniqueId val="{0000000C-97BE-46F9-8256-E459F310C91E}"/>
            </c:ext>
          </c:extLst>
        </c:ser>
        <c:ser>
          <c:idx val="13"/>
          <c:order val="13"/>
          <c:tx>
            <c:strRef>
              <c:f>'Project Specific Reports'!$A$23</c:f>
              <c:strCache>
                <c:ptCount val="1"/>
                <c:pt idx="0">
                  <c:v>Documentation</c:v>
                </c:pt>
              </c:strCache>
            </c:strRef>
          </c:tx>
          <c:invertIfNegative val="0"/>
          <c:val>
            <c:numRef>
              <c:f>'Project Specific Reports'!$B$23</c:f>
              <c:numCache>
                <c:formatCode>General</c:formatCode>
                <c:ptCount val="1"/>
                <c:pt idx="0">
                  <c:v>0</c:v>
                </c:pt>
              </c:numCache>
            </c:numRef>
          </c:val>
          <c:extLst>
            <c:ext xmlns:c16="http://schemas.microsoft.com/office/drawing/2014/chart" uri="{C3380CC4-5D6E-409C-BE32-E72D297353CC}">
              <c16:uniqueId val="{0000000D-97BE-46F9-8256-E459F310C91E}"/>
            </c:ext>
          </c:extLst>
        </c:ser>
        <c:ser>
          <c:idx val="14"/>
          <c:order val="14"/>
          <c:tx>
            <c:strRef>
              <c:f>'Project Specific Reports'!$A$24</c:f>
              <c:strCache>
                <c:ptCount val="1"/>
                <c:pt idx="0">
                  <c:v>Testing</c:v>
                </c:pt>
              </c:strCache>
            </c:strRef>
          </c:tx>
          <c:invertIfNegative val="0"/>
          <c:val>
            <c:numRef>
              <c:f>'Project Specific Reports'!$B$24</c:f>
              <c:numCache>
                <c:formatCode>General</c:formatCode>
                <c:ptCount val="1"/>
                <c:pt idx="0">
                  <c:v>0</c:v>
                </c:pt>
              </c:numCache>
            </c:numRef>
          </c:val>
          <c:extLst>
            <c:ext xmlns:c16="http://schemas.microsoft.com/office/drawing/2014/chart" uri="{C3380CC4-5D6E-409C-BE32-E72D297353CC}">
              <c16:uniqueId val="{0000000E-97BE-46F9-8256-E459F310C91E}"/>
            </c:ext>
          </c:extLst>
        </c:ser>
        <c:ser>
          <c:idx val="15"/>
          <c:order val="15"/>
          <c:tx>
            <c:strRef>
              <c:f>'Project Specific Reports'!$A$25</c:f>
              <c:strCache>
                <c:ptCount val="1"/>
                <c:pt idx="0">
                  <c:v>Project Mgt</c:v>
                </c:pt>
              </c:strCache>
            </c:strRef>
          </c:tx>
          <c:invertIfNegative val="0"/>
          <c:val>
            <c:numRef>
              <c:f>'Project Specific Reports'!$B$25</c:f>
              <c:numCache>
                <c:formatCode>General</c:formatCode>
                <c:ptCount val="1"/>
                <c:pt idx="0">
                  <c:v>0</c:v>
                </c:pt>
              </c:numCache>
            </c:numRef>
          </c:val>
          <c:extLst>
            <c:ext xmlns:c16="http://schemas.microsoft.com/office/drawing/2014/chart" uri="{C3380CC4-5D6E-409C-BE32-E72D297353CC}">
              <c16:uniqueId val="{0000000F-97BE-46F9-8256-E459F310C91E}"/>
            </c:ext>
          </c:extLst>
        </c:ser>
        <c:dLbls>
          <c:showLegendKey val="0"/>
          <c:showVal val="0"/>
          <c:showCatName val="0"/>
          <c:showSerName val="0"/>
          <c:showPercent val="0"/>
          <c:showBubbleSize val="0"/>
        </c:dLbls>
        <c:gapWidth val="150"/>
        <c:overlap val="100"/>
        <c:axId val="47028480"/>
        <c:axId val="47042560"/>
      </c:barChart>
      <c:catAx>
        <c:axId val="47028480"/>
        <c:scaling>
          <c:orientation val="minMax"/>
        </c:scaling>
        <c:delete val="0"/>
        <c:axPos val="b"/>
        <c:majorTickMark val="out"/>
        <c:minorTickMark val="none"/>
        <c:tickLblPos val="nextTo"/>
        <c:crossAx val="47042560"/>
        <c:crosses val="autoZero"/>
        <c:auto val="1"/>
        <c:lblAlgn val="ctr"/>
        <c:lblOffset val="100"/>
        <c:noMultiLvlLbl val="0"/>
      </c:catAx>
      <c:valAx>
        <c:axId val="47042560"/>
        <c:scaling>
          <c:orientation val="minMax"/>
        </c:scaling>
        <c:delete val="0"/>
        <c:axPos val="l"/>
        <c:majorGridlines/>
        <c:numFmt formatCode="0%" sourceLinked="1"/>
        <c:majorTickMark val="out"/>
        <c:minorTickMark val="none"/>
        <c:tickLblPos val="nextTo"/>
        <c:crossAx val="47028480"/>
        <c:crosses val="autoZero"/>
        <c:crossBetween val="between"/>
      </c:valAx>
    </c:plotArea>
    <c:legend>
      <c:legendPos val="r"/>
      <c:overlay val="0"/>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Reports'!$A$29</c:f>
              <c:strCache>
                <c:ptCount val="1"/>
                <c:pt idx="0">
                  <c:v>Complete</c:v>
                </c:pt>
              </c:strCache>
            </c:strRef>
          </c:tx>
          <c:invertIfNegative val="0"/>
          <c:val>
            <c:numRef>
              <c:f>'Project Specific Reports'!$B$29</c:f>
              <c:numCache>
                <c:formatCode>General</c:formatCode>
                <c:ptCount val="1"/>
                <c:pt idx="0">
                  <c:v>5</c:v>
                </c:pt>
              </c:numCache>
            </c:numRef>
          </c:val>
          <c:extLst>
            <c:ext xmlns:c16="http://schemas.microsoft.com/office/drawing/2014/chart" uri="{C3380CC4-5D6E-409C-BE32-E72D297353CC}">
              <c16:uniqueId val="{00000000-F51D-470C-90FA-7164913F22C2}"/>
            </c:ext>
          </c:extLst>
        </c:ser>
        <c:ser>
          <c:idx val="1"/>
          <c:order val="1"/>
          <c:tx>
            <c:strRef>
              <c:f>'Project Specific Reports'!$A$30</c:f>
              <c:strCache>
                <c:ptCount val="1"/>
                <c:pt idx="0">
                  <c:v>In Progress</c:v>
                </c:pt>
              </c:strCache>
            </c:strRef>
          </c:tx>
          <c:invertIfNegative val="0"/>
          <c:val>
            <c:numRef>
              <c:f>'Project Specific Reports'!$B$30</c:f>
              <c:numCache>
                <c:formatCode>General</c:formatCode>
                <c:ptCount val="1"/>
                <c:pt idx="0">
                  <c:v>2</c:v>
                </c:pt>
              </c:numCache>
            </c:numRef>
          </c:val>
          <c:extLst>
            <c:ext xmlns:c16="http://schemas.microsoft.com/office/drawing/2014/chart" uri="{C3380CC4-5D6E-409C-BE32-E72D297353CC}">
              <c16:uniqueId val="{00000001-F51D-470C-90FA-7164913F22C2}"/>
            </c:ext>
          </c:extLst>
        </c:ser>
        <c:ser>
          <c:idx val="2"/>
          <c:order val="2"/>
          <c:tx>
            <c:strRef>
              <c:f>'Project Specific Reports'!$A$31</c:f>
              <c:strCache>
                <c:ptCount val="1"/>
                <c:pt idx="0">
                  <c:v>Pending</c:v>
                </c:pt>
              </c:strCache>
            </c:strRef>
          </c:tx>
          <c:invertIfNegative val="0"/>
          <c:val>
            <c:numRef>
              <c:f>'Project Specific Reports'!$B$31</c:f>
              <c:numCache>
                <c:formatCode>General</c:formatCode>
                <c:ptCount val="1"/>
                <c:pt idx="0">
                  <c:v>0</c:v>
                </c:pt>
              </c:numCache>
            </c:numRef>
          </c:val>
          <c:extLst>
            <c:ext xmlns:c16="http://schemas.microsoft.com/office/drawing/2014/chart" uri="{C3380CC4-5D6E-409C-BE32-E72D297353CC}">
              <c16:uniqueId val="{00000002-F51D-470C-90FA-7164913F22C2}"/>
            </c:ext>
          </c:extLst>
        </c:ser>
        <c:ser>
          <c:idx val="3"/>
          <c:order val="3"/>
          <c:tx>
            <c:strRef>
              <c:f>'Project Specific Reports'!$A$32</c:f>
              <c:strCache>
                <c:ptCount val="1"/>
                <c:pt idx="0">
                  <c:v>Postponed</c:v>
                </c:pt>
              </c:strCache>
            </c:strRef>
          </c:tx>
          <c:invertIfNegative val="0"/>
          <c:val>
            <c:numRef>
              <c:f>'Project Specific Reports'!$B$32</c:f>
              <c:numCache>
                <c:formatCode>General</c:formatCode>
                <c:ptCount val="1"/>
                <c:pt idx="0">
                  <c:v>0</c:v>
                </c:pt>
              </c:numCache>
            </c:numRef>
          </c:val>
          <c:extLst>
            <c:ext xmlns:c16="http://schemas.microsoft.com/office/drawing/2014/chart" uri="{C3380CC4-5D6E-409C-BE32-E72D297353CC}">
              <c16:uniqueId val="{00000003-F51D-470C-90FA-7164913F22C2}"/>
            </c:ext>
          </c:extLst>
        </c:ser>
        <c:ser>
          <c:idx val="4"/>
          <c:order val="4"/>
          <c:tx>
            <c:strRef>
              <c:f>'Project Specific Reports'!$A$33</c:f>
              <c:strCache>
                <c:ptCount val="1"/>
                <c:pt idx="0">
                  <c:v>Cancelled</c:v>
                </c:pt>
              </c:strCache>
            </c:strRef>
          </c:tx>
          <c:invertIfNegative val="0"/>
          <c:val>
            <c:numRef>
              <c:f>'Project Specific Reports'!$B$33</c:f>
              <c:numCache>
                <c:formatCode>General</c:formatCode>
                <c:ptCount val="1"/>
                <c:pt idx="0">
                  <c:v>0</c:v>
                </c:pt>
              </c:numCache>
            </c:numRef>
          </c:val>
          <c:extLst>
            <c:ext xmlns:c16="http://schemas.microsoft.com/office/drawing/2014/chart" uri="{C3380CC4-5D6E-409C-BE32-E72D297353CC}">
              <c16:uniqueId val="{00000004-F51D-470C-90FA-7164913F22C2}"/>
            </c:ext>
          </c:extLst>
        </c:ser>
        <c:dLbls>
          <c:showLegendKey val="0"/>
          <c:showVal val="0"/>
          <c:showCatName val="0"/>
          <c:showSerName val="0"/>
          <c:showPercent val="0"/>
          <c:showBubbleSize val="0"/>
        </c:dLbls>
        <c:gapWidth val="150"/>
        <c:overlap val="100"/>
        <c:axId val="47065344"/>
        <c:axId val="47079424"/>
      </c:barChart>
      <c:catAx>
        <c:axId val="47065344"/>
        <c:scaling>
          <c:orientation val="minMax"/>
        </c:scaling>
        <c:delete val="0"/>
        <c:axPos val="b"/>
        <c:majorTickMark val="out"/>
        <c:minorTickMark val="none"/>
        <c:tickLblPos val="nextTo"/>
        <c:crossAx val="47079424"/>
        <c:crosses val="autoZero"/>
        <c:auto val="1"/>
        <c:lblAlgn val="ctr"/>
        <c:lblOffset val="100"/>
        <c:noMultiLvlLbl val="0"/>
      </c:catAx>
      <c:valAx>
        <c:axId val="47079424"/>
        <c:scaling>
          <c:orientation val="minMax"/>
        </c:scaling>
        <c:delete val="0"/>
        <c:axPos val="l"/>
        <c:majorGridlines/>
        <c:numFmt formatCode="0%" sourceLinked="1"/>
        <c:majorTickMark val="out"/>
        <c:minorTickMark val="none"/>
        <c:tickLblPos val="nextTo"/>
        <c:crossAx val="47065344"/>
        <c:crosses val="autoZero"/>
        <c:crossBetween val="between"/>
      </c:valAx>
    </c:plotArea>
    <c:legend>
      <c:legendPos val="r"/>
      <c:overlay val="0"/>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965200</xdr:colOff>
          <xdr:row>1</xdr:row>
          <xdr:rowOff>31750</xdr:rowOff>
        </xdr:from>
        <xdr:to>
          <xdr:col>4</xdr:col>
          <xdr:colOff>127000</xdr:colOff>
          <xdr:row>2</xdr:row>
          <xdr:rowOff>127000</xdr:rowOff>
        </xdr:to>
        <xdr:sp macro="" textlink="">
          <xdr:nvSpPr>
            <xdr:cNvPr id="6274" name="BtnInsertNewLineAtEnd" hidden="1">
              <a:extLst>
                <a:ext uri="{63B3BB69-23CF-44E3-9099-C40C66FF867C}">
                  <a14:compatExt spid="_x0000_s6274"/>
                </a:ext>
                <a:ext uri="{FF2B5EF4-FFF2-40B4-BE49-F238E27FC236}">
                  <a16:creationId xmlns:a16="http://schemas.microsoft.com/office/drawing/2014/main" id="{00000000-0008-0000-0000-00008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xdr:row>
          <xdr:rowOff>31750</xdr:rowOff>
        </xdr:from>
        <xdr:to>
          <xdr:col>2</xdr:col>
          <xdr:colOff>1130300</xdr:colOff>
          <xdr:row>2</xdr:row>
          <xdr:rowOff>139700</xdr:rowOff>
        </xdr:to>
        <xdr:sp macro="" textlink="">
          <xdr:nvSpPr>
            <xdr:cNvPr id="6275" name="BtnInsertNewLine" hidden="1">
              <a:extLst>
                <a:ext uri="{63B3BB69-23CF-44E3-9099-C40C66FF867C}">
                  <a14:compatExt spid="_x0000_s6275"/>
                </a:ext>
                <a:ext uri="{FF2B5EF4-FFF2-40B4-BE49-F238E27FC236}">
                  <a16:creationId xmlns:a16="http://schemas.microsoft.com/office/drawing/2014/main" id="{00000000-0008-0000-0000-00008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581026</xdr:colOff>
      <xdr:row>1</xdr:row>
      <xdr:rowOff>133350</xdr:rowOff>
    </xdr:from>
    <xdr:to>
      <xdr:col>19</xdr:col>
      <xdr:colOff>533401</xdr:colOff>
      <xdr:row>17</xdr:row>
      <xdr:rowOff>66675</xdr:rowOff>
    </xdr:to>
    <xdr:graphicFrame macro="">
      <xdr:nvGraphicFramePr>
        <xdr:cNvPr id="7286" name="Chart 1">
          <a:extLst>
            <a:ext uri="{FF2B5EF4-FFF2-40B4-BE49-F238E27FC236}">
              <a16:creationId xmlns:a16="http://schemas.microsoft.com/office/drawing/2014/main" id="{00000000-0008-0000-0100-00007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12</xdr:col>
      <xdr:colOff>9524</xdr:colOff>
      <xdr:row>17</xdr:row>
      <xdr:rowOff>66675</xdr:rowOff>
    </xdr:to>
    <xdr:graphicFrame macro="">
      <xdr:nvGraphicFramePr>
        <xdr:cNvPr id="7287" name="Chart 2">
          <a:extLst>
            <a:ext uri="{FF2B5EF4-FFF2-40B4-BE49-F238E27FC236}">
              <a16:creationId xmlns:a16="http://schemas.microsoft.com/office/drawing/2014/main" id="{00000000-0008-0000-0100-000077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2</xdr:row>
      <xdr:rowOff>19050</xdr:rowOff>
    </xdr:from>
    <xdr:to>
      <xdr:col>11</xdr:col>
      <xdr:colOff>333375</xdr:colOff>
      <xdr:row>16</xdr:row>
      <xdr:rowOff>95250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2</xdr:row>
      <xdr:rowOff>19050</xdr:rowOff>
    </xdr:from>
    <xdr:to>
      <xdr:col>19</xdr:col>
      <xdr:colOff>190500</xdr:colOff>
      <xdr:row>16</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18</xdr:row>
      <xdr:rowOff>0</xdr:rowOff>
    </xdr:from>
    <xdr:to>
      <xdr:col>11</xdr:col>
      <xdr:colOff>333375</xdr:colOff>
      <xdr:row>32</xdr:row>
      <xdr:rowOff>104775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A25"/>
  <sheetViews>
    <sheetView tabSelected="1" zoomScale="130" zoomScaleNormal="130" workbookViewId="0">
      <pane xSplit="8" ySplit="3" topLeftCell="I4" activePane="bottomRight" state="frozen"/>
      <selection pane="topRight" activeCell="F1" sqref="F1"/>
      <selection pane="bottomLeft" activeCell="A3" sqref="A3"/>
      <selection pane="bottomRight" activeCell="Y9" sqref="Y9"/>
    </sheetView>
  </sheetViews>
  <sheetFormatPr defaultColWidth="9.08984375" defaultRowHeight="12.5" outlineLevelCol="1" x14ac:dyDescent="0.25"/>
  <cols>
    <col min="1" max="1" width="10.36328125" style="158" hidden="1" customWidth="1"/>
    <col min="2" max="2" width="11.6328125" style="158" hidden="1" customWidth="1"/>
    <col min="3" max="3" width="26.453125" style="158" customWidth="1"/>
    <col min="4" max="4" width="3.36328125" style="158" customWidth="1"/>
    <col min="5" max="5" width="3" style="158" customWidth="1"/>
    <col min="6" max="6" width="7.6328125" style="158" customWidth="1"/>
    <col min="7" max="7" width="6.36328125" style="158" customWidth="1"/>
    <col min="8" max="8" width="5.36328125" style="158" bestFit="1" customWidth="1"/>
    <col min="9" max="9" width="4.36328125" style="158" customWidth="1"/>
    <col min="10" max="11" width="3.36328125" style="222" customWidth="1"/>
    <col min="12" max="12" width="2.453125" style="158" customWidth="1"/>
    <col min="13" max="14" width="3.36328125" style="158" customWidth="1"/>
    <col min="15" max="15" width="2.453125" style="158" customWidth="1"/>
    <col min="16" max="17" width="3.36328125" style="158" customWidth="1"/>
    <col min="18" max="18" width="2.453125" style="158" customWidth="1"/>
    <col min="19" max="20" width="3.36328125" style="158" customWidth="1"/>
    <col min="21" max="21" width="2.453125" style="158" customWidth="1"/>
    <col min="22" max="23" width="3.36328125" style="158" customWidth="1"/>
    <col min="24" max="24" width="2.453125" style="158" customWidth="1"/>
    <col min="25" max="26" width="3.36328125" style="158" customWidth="1"/>
    <col min="27" max="27" width="2.453125" style="158" customWidth="1"/>
    <col min="28" max="29" width="3.36328125" style="158" customWidth="1"/>
    <col min="30" max="30" width="2.453125" style="158" customWidth="1"/>
    <col min="31" max="32" width="3.36328125" style="158" customWidth="1"/>
    <col min="33" max="33" width="2.453125" style="158" customWidth="1"/>
    <col min="34" max="35" width="3.36328125" style="158" customWidth="1"/>
    <col min="36" max="36" width="2.453125" style="158" customWidth="1"/>
    <col min="37" max="38" width="3.36328125" style="158" customWidth="1"/>
    <col min="39" max="39" width="2.453125" style="158" customWidth="1"/>
    <col min="40" max="41" width="3.36328125" style="158" customWidth="1"/>
    <col min="42" max="42" width="2.453125" style="158" customWidth="1"/>
    <col min="43" max="44" width="3.36328125" style="158" customWidth="1"/>
    <col min="45" max="45" width="2.453125" style="158" customWidth="1"/>
    <col min="46" max="47" width="3.36328125" style="158" customWidth="1"/>
    <col min="48" max="48" width="2.453125" style="158" customWidth="1"/>
    <col min="49" max="50" width="3.36328125" style="158" customWidth="1"/>
    <col min="51" max="51" width="2.453125" style="158" customWidth="1"/>
    <col min="52" max="53" width="3.36328125" style="158" customWidth="1"/>
    <col min="54" max="54" width="2.453125" style="158" customWidth="1"/>
    <col min="55" max="56" width="3.36328125" style="158" customWidth="1"/>
    <col min="57" max="57" width="2.453125" style="158" customWidth="1"/>
    <col min="58" max="59" width="3.36328125" style="158" customWidth="1"/>
    <col min="60" max="60" width="2.453125" style="158" customWidth="1"/>
    <col min="61" max="62" width="3.36328125" style="158" customWidth="1"/>
    <col min="63" max="63" width="2.453125" style="158" customWidth="1"/>
    <col min="64" max="65" width="3.36328125" style="158" customWidth="1"/>
    <col min="66" max="66" width="2.453125" style="158" customWidth="1"/>
    <col min="67" max="68" width="3.36328125" style="158" customWidth="1"/>
    <col min="69" max="69" width="2.453125" style="158" customWidth="1"/>
    <col min="70" max="71" width="3.36328125" style="158" customWidth="1"/>
    <col min="72" max="72" width="2.453125" style="158" customWidth="1"/>
    <col min="73" max="74" width="3.36328125" style="158" customWidth="1"/>
    <col min="75" max="75" width="2.453125" style="158" customWidth="1"/>
    <col min="76" max="77" width="3.36328125" style="158" customWidth="1"/>
    <col min="78" max="78" width="2.453125" style="158" customWidth="1"/>
    <col min="79" max="80" width="3.36328125" style="158" customWidth="1"/>
    <col min="81" max="81" width="2.453125" style="158" customWidth="1"/>
    <col min="82" max="83" width="3.36328125" style="158" customWidth="1"/>
    <col min="84" max="84" width="2.453125" style="158" customWidth="1"/>
    <col min="85" max="86" width="3.36328125" style="158" customWidth="1"/>
    <col min="87" max="87" width="2.453125" style="158" customWidth="1"/>
    <col min="88" max="89" width="3.36328125" style="158" customWidth="1"/>
    <col min="90" max="90" width="2.453125" style="158" customWidth="1"/>
    <col min="91" max="92" width="3.36328125" style="158" customWidth="1"/>
    <col min="93" max="93" width="2.453125" style="158" customWidth="1"/>
    <col min="94" max="95" width="3.36328125" style="158" customWidth="1"/>
    <col min="96" max="96" width="2.453125" style="158" customWidth="1"/>
    <col min="97" max="98" width="3.36328125" style="158" customWidth="1"/>
    <col min="99" max="99" width="2.453125" style="158" customWidth="1"/>
    <col min="100" max="101" width="3.36328125" style="158" hidden="1" customWidth="1" outlineLevel="1"/>
    <col min="102" max="102" width="2.453125" style="158" hidden="1" customWidth="1" outlineLevel="1"/>
    <col min="103" max="104" width="3.36328125" style="158" hidden="1" customWidth="1" outlineLevel="1"/>
    <col min="105" max="105" width="2.453125" style="158" hidden="1" customWidth="1" outlineLevel="1"/>
    <col min="106" max="107" width="3.36328125" style="158" hidden="1" customWidth="1" outlineLevel="1"/>
    <col min="108" max="108" width="2.453125" style="158" hidden="1" customWidth="1" outlineLevel="1"/>
    <col min="109" max="110" width="3.36328125" style="158" hidden="1" customWidth="1" outlineLevel="1"/>
    <col min="111" max="111" width="2.453125" style="158" hidden="1" customWidth="1" outlineLevel="1"/>
    <col min="112" max="113" width="3.36328125" style="158" hidden="1" customWidth="1" outlineLevel="1"/>
    <col min="114" max="114" width="2.453125" style="158" hidden="1" customWidth="1" outlineLevel="1"/>
    <col min="115" max="116" width="3.36328125" style="158" hidden="1" customWidth="1" outlineLevel="1"/>
    <col min="117" max="117" width="2.453125" style="158" hidden="1" customWidth="1" outlineLevel="1"/>
    <col min="118" max="119" width="3.36328125" style="158" hidden="1" customWidth="1" outlineLevel="1"/>
    <col min="120" max="120" width="2.453125" style="158" hidden="1" customWidth="1" outlineLevel="1"/>
    <col min="121" max="122" width="3.36328125" style="158" hidden="1" customWidth="1" outlineLevel="1"/>
    <col min="123" max="123" width="2.453125" style="158" hidden="1" customWidth="1" outlineLevel="1"/>
    <col min="124" max="125" width="3.36328125" style="158" hidden="1" customWidth="1" outlineLevel="1"/>
    <col min="126" max="126" width="2.453125" style="158" hidden="1" customWidth="1" outlineLevel="1"/>
    <col min="127" max="128" width="3.36328125" style="158" hidden="1" customWidth="1" outlineLevel="1"/>
    <col min="129" max="129" width="2.453125" style="158" hidden="1" customWidth="1" outlineLevel="1"/>
    <col min="130" max="130" width="2.453125" style="158" customWidth="1" collapsed="1"/>
    <col min="131" max="131" width="6.54296875" style="158" customWidth="1"/>
    <col min="132" max="16384" width="9.08984375" style="158"/>
  </cols>
  <sheetData>
    <row r="1" spans="1:131" x14ac:dyDescent="0.25">
      <c r="A1" s="153"/>
      <c r="B1" s="153"/>
      <c r="C1" s="191"/>
      <c r="D1" s="153"/>
      <c r="E1" s="186"/>
      <c r="F1" s="192" t="s">
        <v>24</v>
      </c>
      <c r="G1" s="193">
        <v>38901</v>
      </c>
      <c r="H1" s="153"/>
      <c r="I1" s="153"/>
      <c r="J1" s="225">
        <f>SprintStart</f>
        <v>43076</v>
      </c>
      <c r="K1" s="225"/>
      <c r="L1" s="225"/>
      <c r="M1" s="225">
        <f>IF(AND(SkipWeekends, WEEKDAY(J1)=6),J1+3, J1+1)</f>
        <v>43077</v>
      </c>
      <c r="N1" s="225"/>
      <c r="O1" s="225"/>
      <c r="P1" s="225">
        <f>IF(AND(SkipWeekends, WEEKDAY(M1)=6),M1+3, M1+1)</f>
        <v>43078</v>
      </c>
      <c r="Q1" s="225"/>
      <c r="R1" s="225"/>
      <c r="S1" s="225">
        <f>IF(AND(SkipWeekends, WEEKDAY(P1)=6),P1+3, P1+1)</f>
        <v>43079</v>
      </c>
      <c r="T1" s="225"/>
      <c r="U1" s="225"/>
      <c r="V1" s="225">
        <f>IF(AND(SkipWeekends, WEEKDAY(S1)=6),S1+3, S1+1)</f>
        <v>43080</v>
      </c>
      <c r="W1" s="225"/>
      <c r="X1" s="225"/>
      <c r="Y1" s="225">
        <f>IF(AND(SkipWeekends, WEEKDAY(V1)=6),V1+3, V1+1)</f>
        <v>43081</v>
      </c>
      <c r="Z1" s="225"/>
      <c r="AA1" s="225"/>
      <c r="AB1" s="225">
        <f>IF(AND(SkipWeekends, WEEKDAY(Y1)=6),Y1+3, Y1+1)</f>
        <v>43082</v>
      </c>
      <c r="AC1" s="225"/>
      <c r="AD1" s="225"/>
      <c r="AE1" s="225">
        <f>IF(AND(SkipWeekends, WEEKDAY(AB1)=6),AB1+3, AB1+1)</f>
        <v>43083</v>
      </c>
      <c r="AF1" s="225"/>
      <c r="AG1" s="225"/>
      <c r="AH1" s="225">
        <f>IF(AND(SkipWeekends, WEEKDAY(AE1)=6),AE1+3, AE1+1)</f>
        <v>43084</v>
      </c>
      <c r="AI1" s="225"/>
      <c r="AJ1" s="225"/>
      <c r="AK1" s="225">
        <f>IF(AND(SkipWeekends, WEEKDAY(AH1)=6),AH1+3, AH1+1)</f>
        <v>43085</v>
      </c>
      <c r="AL1" s="225"/>
      <c r="AM1" s="225"/>
      <c r="AN1" s="225">
        <f>IF(AND(SkipWeekends, WEEKDAY(AK1)=6),AK1+3, AK1+1)</f>
        <v>43086</v>
      </c>
      <c r="AO1" s="225"/>
      <c r="AP1" s="225"/>
      <c r="AQ1" s="225">
        <f>IF(AND(SkipWeekends, WEEKDAY(AN1)=6),AN1+3, AN1+1)</f>
        <v>43087</v>
      </c>
      <c r="AR1" s="225"/>
      <c r="AS1" s="225"/>
      <c r="AT1" s="225">
        <f>IF(AND(SkipWeekends, WEEKDAY(AQ1)=6),AQ1+3, AQ1+1)</f>
        <v>43088</v>
      </c>
      <c r="AU1" s="225"/>
      <c r="AV1" s="225"/>
      <c r="AW1" s="225">
        <f>IF(AND(SkipWeekends, WEEKDAY(AT1)=6),AT1+3, AT1+1)</f>
        <v>43089</v>
      </c>
      <c r="AX1" s="225"/>
      <c r="AY1" s="225"/>
      <c r="AZ1" s="225">
        <f>IF(AND(SkipWeekends, WEEKDAY(AW1)=6),AW1+3, AW1+1)</f>
        <v>43090</v>
      </c>
      <c r="BA1" s="225"/>
      <c r="BB1" s="225"/>
      <c r="BC1" s="225">
        <f>IF(AND(SkipWeekends, WEEKDAY(AZ1)=6),AZ1+3, AZ1+1)</f>
        <v>43091</v>
      </c>
      <c r="BD1" s="225"/>
      <c r="BE1" s="225"/>
      <c r="BF1" s="225">
        <f>IF(AND(SkipWeekends, WEEKDAY(BC1)=6),BC1+3, BC1+1)</f>
        <v>43092</v>
      </c>
      <c r="BG1" s="225"/>
      <c r="BH1" s="225"/>
      <c r="BI1" s="225">
        <f>IF(AND(SkipWeekends, WEEKDAY(BF1)=6),BF1+3, BF1+1)</f>
        <v>43093</v>
      </c>
      <c r="BJ1" s="225"/>
      <c r="BK1" s="225"/>
      <c r="BL1" s="225">
        <f>IF(AND(SkipWeekends, WEEKDAY(BI1)=6),BI1+3, BI1+1)</f>
        <v>43094</v>
      </c>
      <c r="BM1" s="225"/>
      <c r="BN1" s="225"/>
      <c r="BO1" s="225">
        <f>IF(AND(SkipWeekends, WEEKDAY(BL1)=6),BL1+3, BL1+1)</f>
        <v>43095</v>
      </c>
      <c r="BP1" s="225"/>
      <c r="BQ1" s="225"/>
      <c r="BR1" s="225">
        <f>IF(AND(SkipWeekends, WEEKDAY(BO1)=6),BO1+3, BO1+1)</f>
        <v>43096</v>
      </c>
      <c r="BS1" s="225"/>
      <c r="BT1" s="225"/>
      <c r="BU1" s="225">
        <f>IF(AND(SkipWeekends, WEEKDAY(BR1)=6),BR1+3, BR1+1)</f>
        <v>43097</v>
      </c>
      <c r="BV1" s="225"/>
      <c r="BW1" s="225"/>
      <c r="BX1" s="225">
        <f>IF(AND(SkipWeekends, WEEKDAY(BU1)=6),BU1+3, BU1+1)</f>
        <v>43098</v>
      </c>
      <c r="BY1" s="225"/>
      <c r="BZ1" s="225"/>
      <c r="CA1" s="225">
        <f>IF(AND(SkipWeekends, WEEKDAY(BX1)=6),BX1+3, BX1+1)</f>
        <v>43099</v>
      </c>
      <c r="CB1" s="225"/>
      <c r="CC1" s="225"/>
      <c r="CD1" s="225">
        <f>IF(AND(SkipWeekends, WEEKDAY(CA1)=6),CA1+3, CA1+1)</f>
        <v>43100</v>
      </c>
      <c r="CE1" s="225"/>
      <c r="CF1" s="225"/>
      <c r="CG1" s="225">
        <f>IF(AND(SkipWeekends, WEEKDAY(CD1)=6),CD1+3, CD1+1)</f>
        <v>43101</v>
      </c>
      <c r="CH1" s="225"/>
      <c r="CI1" s="225"/>
      <c r="CJ1" s="225">
        <f>IF(AND(SkipWeekends, WEEKDAY(CG1)=6),CG1+3, CG1+1)</f>
        <v>43102</v>
      </c>
      <c r="CK1" s="225"/>
      <c r="CL1" s="225"/>
      <c r="CM1" s="225">
        <f>IF(AND(SkipWeekends, WEEKDAY(CJ1)=6),CJ1+3, CJ1+1)</f>
        <v>43103</v>
      </c>
      <c r="CN1" s="225"/>
      <c r="CO1" s="225"/>
      <c r="CP1" s="225">
        <f>IF(AND(SkipWeekends, WEEKDAY(CM1)=6),CM1+3, CM1+1)</f>
        <v>43104</v>
      </c>
      <c r="CQ1" s="225"/>
      <c r="CR1" s="225"/>
      <c r="CS1" s="225">
        <f>IF(AND(SkipWeekends, WEEKDAY(CP1)=6),CP1+3, CP1+1)</f>
        <v>43105</v>
      </c>
      <c r="CT1" s="225"/>
      <c r="CU1" s="225"/>
      <c r="CV1" s="225">
        <f>IF(AND(SkipWeekends, WEEKDAY(CS1)=6),CS1+3, CS1+1)</f>
        <v>43106</v>
      </c>
      <c r="CW1" s="225"/>
      <c r="CX1" s="225"/>
      <c r="CY1" s="225">
        <f>IF(AND(SkipWeekends, WEEKDAY(CV1)=6),CV1+3, CV1+1)</f>
        <v>43107</v>
      </c>
      <c r="CZ1" s="225"/>
      <c r="DA1" s="225"/>
      <c r="DB1" s="225">
        <f>IF(AND(SkipWeekends, WEEKDAY(CY1)=6),CY1+3, CY1+1)</f>
        <v>43108</v>
      </c>
      <c r="DC1" s="225"/>
      <c r="DD1" s="225"/>
      <c r="DE1" s="225">
        <f>IF(AND(SkipWeekends, WEEKDAY(DB1)=6),DB1+3, DB1+1)</f>
        <v>43109</v>
      </c>
      <c r="DF1" s="225"/>
      <c r="DG1" s="225"/>
      <c r="DH1" s="225">
        <f>IF(AND(SkipWeekends, WEEKDAY(DE1)=6),DE1+3, DE1+1)</f>
        <v>43110</v>
      </c>
      <c r="DI1" s="225"/>
      <c r="DJ1" s="225"/>
      <c r="DK1" s="225">
        <f>IF(AND(SkipWeekends, WEEKDAY(DH1)=6),DH1+3, DH1+1)</f>
        <v>43111</v>
      </c>
      <c r="DL1" s="225"/>
      <c r="DM1" s="225"/>
      <c r="DN1" s="225">
        <f>IF(AND(SkipWeekends, WEEKDAY(DK1)=6),DK1+3, DK1+1)</f>
        <v>43112</v>
      </c>
      <c r="DO1" s="225"/>
      <c r="DP1" s="225"/>
      <c r="DQ1" s="225">
        <f>IF(AND(SkipWeekends, WEEKDAY(DN1)=6),DN1+3, DN1+1)</f>
        <v>43113</v>
      </c>
      <c r="DR1" s="225"/>
      <c r="DS1" s="225"/>
      <c r="DT1" s="225">
        <f>IF(AND(SkipWeekends, WEEKDAY(DQ1)=6),DQ1+3, DQ1+1)</f>
        <v>43114</v>
      </c>
      <c r="DU1" s="225"/>
      <c r="DV1" s="225"/>
      <c r="DW1" s="225">
        <f>IF(AND(SkipWeekends, WEEKDAY(DT1)=6),DT1+3, DT1+1)</f>
        <v>43115</v>
      </c>
      <c r="DX1" s="225"/>
      <c r="DY1" s="225"/>
      <c r="DZ1" s="194"/>
      <c r="EA1" s="153"/>
    </row>
    <row r="2" spans="1:131" x14ac:dyDescent="0.25">
      <c r="A2" s="153"/>
      <c r="B2" s="153"/>
      <c r="C2" s="191"/>
      <c r="D2" s="153"/>
      <c r="E2" s="187"/>
      <c r="F2" s="192"/>
      <c r="G2" s="195"/>
      <c r="H2" s="153"/>
      <c r="I2" s="153"/>
      <c r="J2" s="196"/>
      <c r="K2" s="196" t="s">
        <v>60</v>
      </c>
      <c r="L2" s="197"/>
      <c r="M2" s="197"/>
      <c r="N2" s="197" t="s">
        <v>61</v>
      </c>
      <c r="O2" s="197"/>
      <c r="P2" s="197"/>
      <c r="Q2" s="197" t="s">
        <v>62</v>
      </c>
      <c r="R2" s="197"/>
      <c r="S2" s="197"/>
      <c r="T2" s="197" t="s">
        <v>63</v>
      </c>
      <c r="U2" s="197"/>
      <c r="V2" s="197"/>
      <c r="W2" s="197" t="s">
        <v>64</v>
      </c>
      <c r="X2" s="197"/>
      <c r="Y2" s="197"/>
      <c r="Z2" s="197" t="s">
        <v>65</v>
      </c>
      <c r="AA2" s="197"/>
      <c r="AB2" s="197"/>
      <c r="AC2" s="197" t="s">
        <v>66</v>
      </c>
      <c r="AD2" s="197"/>
      <c r="AE2" s="197"/>
      <c r="AF2" s="197" t="s">
        <v>67</v>
      </c>
      <c r="AG2" s="197"/>
      <c r="AH2" s="197"/>
      <c r="AI2" s="197" t="s">
        <v>68</v>
      </c>
      <c r="AJ2" s="197"/>
      <c r="AK2" s="197"/>
      <c r="AL2" s="197" t="s">
        <v>69</v>
      </c>
      <c r="AM2" s="197"/>
      <c r="AN2" s="197"/>
      <c r="AO2" s="197" t="s">
        <v>70</v>
      </c>
      <c r="AP2" s="197"/>
      <c r="AQ2" s="197"/>
      <c r="AR2" s="197" t="s">
        <v>71</v>
      </c>
      <c r="AS2" s="197"/>
      <c r="AT2" s="197"/>
      <c r="AU2" s="197" t="s">
        <v>72</v>
      </c>
      <c r="AV2" s="197"/>
      <c r="AW2" s="197"/>
      <c r="AX2" s="197" t="s">
        <v>73</v>
      </c>
      <c r="AY2" s="197"/>
      <c r="AZ2" s="197"/>
      <c r="BA2" s="197" t="s">
        <v>74</v>
      </c>
      <c r="BB2" s="197"/>
      <c r="BC2" s="197"/>
      <c r="BD2" s="197" t="s">
        <v>75</v>
      </c>
      <c r="BE2" s="197"/>
      <c r="BF2" s="197"/>
      <c r="BG2" s="197" t="s">
        <v>76</v>
      </c>
      <c r="BH2" s="197"/>
      <c r="BI2" s="197"/>
      <c r="BJ2" s="197" t="s">
        <v>77</v>
      </c>
      <c r="BK2" s="197"/>
      <c r="BL2" s="197"/>
      <c r="BM2" s="197" t="s">
        <v>78</v>
      </c>
      <c r="BN2" s="197"/>
      <c r="BO2" s="197"/>
      <c r="BP2" s="197" t="s">
        <v>79</v>
      </c>
      <c r="BQ2" s="197"/>
      <c r="BR2" s="197"/>
      <c r="BS2" s="197" t="s">
        <v>80</v>
      </c>
      <c r="BT2" s="197"/>
      <c r="BU2" s="197"/>
      <c r="BV2" s="197" t="s">
        <v>81</v>
      </c>
      <c r="BW2" s="197"/>
      <c r="BX2" s="197"/>
      <c r="BY2" s="197" t="s">
        <v>82</v>
      </c>
      <c r="BZ2" s="197"/>
      <c r="CA2" s="197"/>
      <c r="CB2" s="197" t="s">
        <v>83</v>
      </c>
      <c r="CC2" s="197"/>
      <c r="CD2" s="197"/>
      <c r="CE2" s="197" t="s">
        <v>84</v>
      </c>
      <c r="CF2" s="197"/>
      <c r="CG2" s="197"/>
      <c r="CH2" s="197" t="s">
        <v>85</v>
      </c>
      <c r="CI2" s="197"/>
      <c r="CJ2" s="197"/>
      <c r="CK2" s="197" t="s">
        <v>86</v>
      </c>
      <c r="CL2" s="197"/>
      <c r="CM2" s="197"/>
      <c r="CN2" s="197" t="s">
        <v>87</v>
      </c>
      <c r="CO2" s="197"/>
      <c r="CP2" s="197"/>
      <c r="CQ2" s="197" t="s">
        <v>88</v>
      </c>
      <c r="CR2" s="197"/>
      <c r="CS2" s="197"/>
      <c r="CT2" s="197" t="s">
        <v>89</v>
      </c>
      <c r="CU2" s="197"/>
      <c r="CV2" s="197"/>
      <c r="CW2" s="197" t="s">
        <v>90</v>
      </c>
      <c r="CX2" s="197"/>
      <c r="CY2" s="197"/>
      <c r="CZ2" s="197" t="s">
        <v>91</v>
      </c>
      <c r="DA2" s="197"/>
      <c r="DB2" s="197"/>
      <c r="DC2" s="197" t="s">
        <v>92</v>
      </c>
      <c r="DD2" s="197"/>
      <c r="DE2" s="197"/>
      <c r="DF2" s="197" t="s">
        <v>93</v>
      </c>
      <c r="DG2" s="197"/>
      <c r="DH2" s="197"/>
      <c r="DI2" s="197" t="s">
        <v>94</v>
      </c>
      <c r="DJ2" s="197"/>
      <c r="DK2" s="197"/>
      <c r="DL2" s="197" t="s">
        <v>95</v>
      </c>
      <c r="DM2" s="197"/>
      <c r="DN2" s="197"/>
      <c r="DO2" s="197" t="s">
        <v>96</v>
      </c>
      <c r="DP2" s="197"/>
      <c r="DQ2" s="197"/>
      <c r="DR2" s="197" t="s">
        <v>97</v>
      </c>
      <c r="DS2" s="197"/>
      <c r="DT2" s="197"/>
      <c r="DU2" s="197" t="s">
        <v>98</v>
      </c>
      <c r="DV2" s="197"/>
      <c r="DW2" s="197"/>
      <c r="DX2" s="197" t="s">
        <v>99</v>
      </c>
      <c r="DY2" s="197"/>
      <c r="DZ2" s="194"/>
      <c r="EA2" s="153"/>
    </row>
    <row r="3" spans="1:131" ht="19.25" customHeight="1" x14ac:dyDescent="0.25">
      <c r="A3" s="2" t="s">
        <v>110</v>
      </c>
      <c r="B3" s="2" t="s">
        <v>111</v>
      </c>
      <c r="C3" s="185" t="s">
        <v>100</v>
      </c>
      <c r="D3" s="2" t="s">
        <v>101</v>
      </c>
      <c r="E3" s="2" t="s">
        <v>102</v>
      </c>
      <c r="F3" s="153" t="s">
        <v>0</v>
      </c>
      <c r="G3" s="153" t="s">
        <v>1</v>
      </c>
      <c r="H3" s="4" t="s">
        <v>2</v>
      </c>
      <c r="I3" s="4" t="s">
        <v>103</v>
      </c>
      <c r="J3" s="151" t="s">
        <v>13</v>
      </c>
      <c r="K3" s="152" t="s">
        <v>3</v>
      </c>
      <c r="L3" s="4"/>
      <c r="M3" s="3" t="s">
        <v>13</v>
      </c>
      <c r="N3" s="4" t="s">
        <v>3</v>
      </c>
      <c r="O3" s="4"/>
      <c r="P3" s="3" t="s">
        <v>13</v>
      </c>
      <c r="Q3" s="4" t="s">
        <v>3</v>
      </c>
      <c r="R3" s="4"/>
      <c r="S3" s="3" t="s">
        <v>13</v>
      </c>
      <c r="T3" s="4" t="s">
        <v>3</v>
      </c>
      <c r="U3" s="4"/>
      <c r="V3" s="3" t="s">
        <v>13</v>
      </c>
      <c r="W3" s="4" t="s">
        <v>3</v>
      </c>
      <c r="X3" s="4"/>
      <c r="Y3" s="3" t="s">
        <v>13</v>
      </c>
      <c r="Z3" s="4" t="s">
        <v>3</v>
      </c>
      <c r="AA3" s="4"/>
      <c r="AB3" s="3" t="s">
        <v>13</v>
      </c>
      <c r="AC3" s="4" t="s">
        <v>3</v>
      </c>
      <c r="AD3" s="4"/>
      <c r="AE3" s="3" t="s">
        <v>13</v>
      </c>
      <c r="AF3" s="4" t="s">
        <v>3</v>
      </c>
      <c r="AG3" s="4"/>
      <c r="AH3" s="3" t="s">
        <v>13</v>
      </c>
      <c r="AI3" s="4" t="s">
        <v>3</v>
      </c>
      <c r="AJ3" s="4"/>
      <c r="AK3" s="3" t="s">
        <v>13</v>
      </c>
      <c r="AL3" s="4" t="s">
        <v>3</v>
      </c>
      <c r="AM3" s="4"/>
      <c r="AN3" s="3" t="s">
        <v>13</v>
      </c>
      <c r="AO3" s="4" t="s">
        <v>3</v>
      </c>
      <c r="AP3" s="4"/>
      <c r="AQ3" s="3" t="s">
        <v>13</v>
      </c>
      <c r="AR3" s="4" t="s">
        <v>3</v>
      </c>
      <c r="AS3" s="4"/>
      <c r="AT3" s="3" t="s">
        <v>13</v>
      </c>
      <c r="AU3" s="4" t="s">
        <v>3</v>
      </c>
      <c r="AV3" s="4"/>
      <c r="AW3" s="3" t="s">
        <v>13</v>
      </c>
      <c r="AX3" s="4" t="s">
        <v>3</v>
      </c>
      <c r="AY3" s="4"/>
      <c r="AZ3" s="3" t="s">
        <v>13</v>
      </c>
      <c r="BA3" s="4" t="s">
        <v>3</v>
      </c>
      <c r="BB3" s="4"/>
      <c r="BC3" s="3" t="s">
        <v>13</v>
      </c>
      <c r="BD3" s="4" t="s">
        <v>3</v>
      </c>
      <c r="BE3" s="4"/>
      <c r="BF3" s="3" t="s">
        <v>13</v>
      </c>
      <c r="BG3" s="4" t="s">
        <v>3</v>
      </c>
      <c r="BH3" s="4"/>
      <c r="BI3" s="3" t="s">
        <v>13</v>
      </c>
      <c r="BJ3" s="4" t="s">
        <v>3</v>
      </c>
      <c r="BK3" s="4"/>
      <c r="BL3" s="3" t="s">
        <v>13</v>
      </c>
      <c r="BM3" s="4" t="s">
        <v>3</v>
      </c>
      <c r="BN3" s="4"/>
      <c r="BO3" s="3" t="s">
        <v>13</v>
      </c>
      <c r="BP3" s="4" t="s">
        <v>3</v>
      </c>
      <c r="BQ3" s="4"/>
      <c r="BR3" s="3" t="s">
        <v>13</v>
      </c>
      <c r="BS3" s="4" t="s">
        <v>3</v>
      </c>
      <c r="BT3" s="4"/>
      <c r="BU3" s="3" t="s">
        <v>13</v>
      </c>
      <c r="BV3" s="4" t="s">
        <v>3</v>
      </c>
      <c r="BW3" s="4"/>
      <c r="BX3" s="3" t="s">
        <v>13</v>
      </c>
      <c r="BY3" s="4" t="s">
        <v>3</v>
      </c>
      <c r="BZ3" s="4"/>
      <c r="CA3" s="3" t="s">
        <v>13</v>
      </c>
      <c r="CB3" s="4" t="s">
        <v>3</v>
      </c>
      <c r="CC3" s="4"/>
      <c r="CD3" s="3" t="s">
        <v>13</v>
      </c>
      <c r="CE3" s="4" t="s">
        <v>3</v>
      </c>
      <c r="CF3" s="4"/>
      <c r="CG3" s="3" t="s">
        <v>13</v>
      </c>
      <c r="CH3" s="4" t="s">
        <v>3</v>
      </c>
      <c r="CI3" s="4"/>
      <c r="CJ3" s="3" t="s">
        <v>13</v>
      </c>
      <c r="CK3" s="4" t="s">
        <v>3</v>
      </c>
      <c r="CL3" s="4"/>
      <c r="CM3" s="3" t="s">
        <v>13</v>
      </c>
      <c r="CN3" s="4" t="s">
        <v>3</v>
      </c>
      <c r="CO3" s="4"/>
      <c r="CP3" s="3" t="s">
        <v>13</v>
      </c>
      <c r="CQ3" s="4" t="s">
        <v>3</v>
      </c>
      <c r="CR3" s="4"/>
      <c r="CS3" s="3" t="s">
        <v>13</v>
      </c>
      <c r="CT3" s="4" t="s">
        <v>3</v>
      </c>
      <c r="CU3" s="4"/>
      <c r="CV3" s="3" t="s">
        <v>13</v>
      </c>
      <c r="CW3" s="4" t="s">
        <v>3</v>
      </c>
      <c r="CX3" s="4"/>
      <c r="CY3" s="3" t="s">
        <v>13</v>
      </c>
      <c r="CZ3" s="4" t="s">
        <v>3</v>
      </c>
      <c r="DA3" s="4"/>
      <c r="DB3" s="3" t="s">
        <v>13</v>
      </c>
      <c r="DC3" s="4" t="s">
        <v>3</v>
      </c>
      <c r="DD3" s="4"/>
      <c r="DE3" s="3" t="s">
        <v>13</v>
      </c>
      <c r="DF3" s="4" t="s">
        <v>3</v>
      </c>
      <c r="DG3" s="4"/>
      <c r="DH3" s="3" t="s">
        <v>13</v>
      </c>
      <c r="DI3" s="4" t="s">
        <v>3</v>
      </c>
      <c r="DJ3" s="4"/>
      <c r="DK3" s="3" t="s">
        <v>13</v>
      </c>
      <c r="DL3" s="4" t="s">
        <v>3</v>
      </c>
      <c r="DM3" s="4"/>
      <c r="DN3" s="3" t="s">
        <v>13</v>
      </c>
      <c r="DO3" s="4" t="s">
        <v>3</v>
      </c>
      <c r="DP3" s="4"/>
      <c r="DQ3" s="3" t="s">
        <v>13</v>
      </c>
      <c r="DR3" s="4" t="s">
        <v>3</v>
      </c>
      <c r="DS3" s="4"/>
      <c r="DT3" s="3" t="s">
        <v>13</v>
      </c>
      <c r="DU3" s="4" t="s">
        <v>3</v>
      </c>
      <c r="DV3" s="4"/>
      <c r="DW3" s="3" t="s">
        <v>13</v>
      </c>
      <c r="DX3" s="4" t="s">
        <v>3</v>
      </c>
      <c r="DY3" s="4"/>
      <c r="DZ3" s="4"/>
      <c r="EA3" s="198" t="s">
        <v>31</v>
      </c>
    </row>
    <row r="4" spans="1:131" x14ac:dyDescent="0.25">
      <c r="A4" s="199"/>
      <c r="B4" s="199"/>
      <c r="C4" s="200" t="s">
        <v>147</v>
      </c>
      <c r="D4" s="201"/>
      <c r="E4" s="202"/>
      <c r="F4" s="5" t="s">
        <v>144</v>
      </c>
      <c r="G4" s="203" t="str">
        <f t="shared" ref="G4:G10" ca="1" si="0">(INDEX(Burndown,ROW(G4)-ROW(G$3),MIN(TODAY()-SprintStart,29)*3+3))</f>
        <v>Complete</v>
      </c>
      <c r="H4" s="5">
        <v>5</v>
      </c>
      <c r="I4" s="204">
        <v>1</v>
      </c>
      <c r="J4" s="204">
        <v>1</v>
      </c>
      <c r="K4" s="205">
        <f t="shared" ref="K4:K10" si="1">MAX(I4-J4, 0)</f>
        <v>0</v>
      </c>
      <c r="L4" s="206" t="str">
        <f>IF(SUMPRODUCT($J$13:K$13,$J4:K4)&lt;0.5, "Pending", IF(K4&lt;0.5, "Complete", "In Progress"))</f>
        <v>Complete</v>
      </c>
      <c r="M4" s="205">
        <v>0</v>
      </c>
      <c r="N4" s="205">
        <f t="shared" ref="N4:N10" si="2">MAX(K4-M4,0)</f>
        <v>0</v>
      </c>
      <c r="O4" s="206" t="str">
        <f>IF(SUMPRODUCT($J$13:N$13,$J4:N4)&lt;0.5, "Pending", IF(N4&lt;0.5, "Complete", "In Progress"))</f>
        <v>Complete</v>
      </c>
      <c r="P4" s="205">
        <v>0</v>
      </c>
      <c r="Q4" s="205">
        <f t="shared" ref="Q4:Q10" si="3">MAX(N4-P4,0)</f>
        <v>0</v>
      </c>
      <c r="R4" s="206" t="str">
        <f>IF(SUMPRODUCT($J$13:Q$13,$J4:Q4)&lt;0.5, "Pending", IF(Q4&lt;0.5, "Complete", "In Progress"))</f>
        <v>Complete</v>
      </c>
      <c r="S4" s="205">
        <v>0</v>
      </c>
      <c r="T4" s="205">
        <f t="shared" ref="T4:T10" si="4">MAX(Q4-S4,0)</f>
        <v>0</v>
      </c>
      <c r="U4" s="206" t="str">
        <f>IF(SUMPRODUCT($J$13:T$13,$J4:T4)&lt;0.5, "Pending", IF(T4&lt;0.5, "Complete", "In Progress"))</f>
        <v>Complete</v>
      </c>
      <c r="V4" s="205">
        <v>0</v>
      </c>
      <c r="W4" s="205">
        <f t="shared" ref="W4:W10" si="5">MAX(T4-V4,0)</f>
        <v>0</v>
      </c>
      <c r="X4" s="206" t="str">
        <f>IF(SUMPRODUCT($J$13:W$13,$J4:W4)&lt;0.5, "Pending", IF(W4&lt;0.5, "Complete", "In Progress"))</f>
        <v>Complete</v>
      </c>
      <c r="Y4" s="205">
        <v>0</v>
      </c>
      <c r="Z4" s="205">
        <f t="shared" ref="Z4:Z10" si="6">MAX(W4-Y4,0)</f>
        <v>0</v>
      </c>
      <c r="AA4" s="206" t="str">
        <f>IF(SUMPRODUCT($J$13:Z$13,$J4:Z4)&lt;0.5, "Pending", IF(Z4&lt;0.5, "Complete", "In Progress"))</f>
        <v>Complete</v>
      </c>
      <c r="AB4" s="205">
        <v>0</v>
      </c>
      <c r="AC4" s="205">
        <f t="shared" ref="AC4:AC10" si="7">MAX(Z4-AB4,0)</f>
        <v>0</v>
      </c>
      <c r="AD4" s="206" t="str">
        <f>IF(SUMPRODUCT($J$13:AC$13,$J4:AC4)&lt;0.5, "Pending", IF(AC4&lt;0.5, "Complete", "In Progress"))</f>
        <v>Complete</v>
      </c>
      <c r="AE4" s="205">
        <v>0</v>
      </c>
      <c r="AF4" s="205">
        <f t="shared" ref="AF4:AF10" si="8">MAX(AC4-AE4,0)</f>
        <v>0</v>
      </c>
      <c r="AG4" s="206" t="str">
        <f>IF(SUMPRODUCT($J$13:AF$13,$J4:AF4)&lt;0.5, "Pending", IF(AF4&lt;0.5, "Complete", "In Progress"))</f>
        <v>Complete</v>
      </c>
      <c r="AH4" s="205">
        <v>0</v>
      </c>
      <c r="AI4" s="205">
        <f t="shared" ref="AI4:AI10" si="9">MAX(AF4-AH4,0)</f>
        <v>0</v>
      </c>
      <c r="AJ4" s="206" t="str">
        <f>IF(SUMPRODUCT($J$13:AI$13,$J4:AI4)&lt;0.5, "Pending", IF(AI4&lt;0.5, "Complete", "In Progress"))</f>
        <v>Complete</v>
      </c>
      <c r="AK4" s="205">
        <v>0</v>
      </c>
      <c r="AL4" s="205">
        <f t="shared" ref="AL4:AL10" si="10">MAX(AI4-AK4,0)</f>
        <v>0</v>
      </c>
      <c r="AM4" s="206" t="str">
        <f>IF(SUMPRODUCT($J$13:AL$13,$J4:AL4)&lt;0.5, "Pending", IF(AL4&lt;0.5, "Complete", "In Progress"))</f>
        <v>Complete</v>
      </c>
      <c r="AN4" s="205">
        <v>0</v>
      </c>
      <c r="AO4" s="205">
        <f t="shared" ref="AO4:AO10" si="11">MAX(AL4-AN4,0)</f>
        <v>0</v>
      </c>
      <c r="AP4" s="206" t="str">
        <f>IF(SUMPRODUCT($J$13:AO$13,$J4:AO4)&lt;0.5, "Pending", IF(AO4&lt;0.5, "Complete", "In Progress"))</f>
        <v>Complete</v>
      </c>
      <c r="AQ4" s="205">
        <v>0</v>
      </c>
      <c r="AR4" s="205">
        <f t="shared" ref="AR4:AR10" si="12">MAX(AO4-AQ4,0)</f>
        <v>0</v>
      </c>
      <c r="AS4" s="206" t="str">
        <f>IF(SUMPRODUCT($J$13:AR$13,$J4:AR4)&lt;0.5, "Pending", IF(AR4&lt;0.5, "Complete", "In Progress"))</f>
        <v>Complete</v>
      </c>
      <c r="AT4" s="205">
        <v>0</v>
      </c>
      <c r="AU4" s="205">
        <f t="shared" ref="AU4:AU10" si="13">MAX(AR4-AT4,0)</f>
        <v>0</v>
      </c>
      <c r="AV4" s="206" t="str">
        <f>IF(SUMPRODUCT($J$13:AU$13,$J4:AU4)&lt;0.5, "Pending", IF(AU4&lt;0.5, "Complete", "In Progress"))</f>
        <v>Complete</v>
      </c>
      <c r="AW4" s="205">
        <v>0</v>
      </c>
      <c r="AX4" s="205">
        <f t="shared" ref="AX4:AX10" si="14">MAX(AU4-AW4,0)</f>
        <v>0</v>
      </c>
      <c r="AY4" s="206" t="str">
        <f>IF(SUMPRODUCT($J$13:AX$13,$J4:AX4)&lt;0.5, "Pending", IF(AX4&lt;0.5, "Complete", "In Progress"))</f>
        <v>Complete</v>
      </c>
      <c r="AZ4" s="205">
        <v>0</v>
      </c>
      <c r="BA4" s="205">
        <f t="shared" ref="BA4:BA10" si="15">MAX(AX4-AZ4,0)</f>
        <v>0</v>
      </c>
      <c r="BB4" s="206" t="str">
        <f>IF(SUMPRODUCT($J$13:BA$13,$J4:BA4)&lt;0.5, "Pending", IF(BA4&lt;0.5, "Complete", "In Progress"))</f>
        <v>Complete</v>
      </c>
      <c r="BC4" s="205">
        <v>0</v>
      </c>
      <c r="BD4" s="205">
        <f t="shared" ref="BD4:BD10" si="16">MAX(BA4-BC4,0)</f>
        <v>0</v>
      </c>
      <c r="BE4" s="206" t="str">
        <f>IF(SUMPRODUCT($J$13:BD$13,$J4:BD4)&lt;0.5, "Pending", IF(BD4&lt;0.5, "Complete", "In Progress"))</f>
        <v>Complete</v>
      </c>
      <c r="BF4" s="205">
        <v>0</v>
      </c>
      <c r="BG4" s="205">
        <f t="shared" ref="BG4:BG10" si="17">MAX(BD4-BF4,0)</f>
        <v>0</v>
      </c>
      <c r="BH4" s="206" t="str">
        <f>IF(SUMPRODUCT($J$13:BG$13,$J4:BG4)&lt;0.5, "Pending", IF(BG4&lt;0.5, "Complete", "In Progress"))</f>
        <v>Complete</v>
      </c>
      <c r="BI4" s="205">
        <v>0</v>
      </c>
      <c r="BJ4" s="205">
        <v>0</v>
      </c>
      <c r="BK4" s="206" t="str">
        <f>IF(SUMPRODUCT($J$13:BJ$13,$J4:BJ4)&lt;0.5, "Pending", IF(BJ4&lt;0.5, "Complete", "In Progress"))</f>
        <v>Complete</v>
      </c>
      <c r="BL4" s="205">
        <v>0</v>
      </c>
      <c r="BM4" s="205">
        <f t="shared" ref="BM4:BM10" si="18">MAX(BJ4-BL4,0)</f>
        <v>0</v>
      </c>
      <c r="BN4" s="206" t="str">
        <f>IF(SUMPRODUCT($J$13:BM$13,$J4:BM4)&lt;0.5, "Pending", IF(BM4&lt;0.5, "Complete", "In Progress"))</f>
        <v>Complete</v>
      </c>
      <c r="BO4" s="205">
        <v>0</v>
      </c>
      <c r="BP4" s="205">
        <f t="shared" ref="BP4:BP10" si="19">MAX(BM4-BO4,0)</f>
        <v>0</v>
      </c>
      <c r="BQ4" s="206" t="str">
        <f>IF(SUMPRODUCT($J$13:BP$13,$J4:BP4)&lt;0.5, "Pending", IF(BP4&lt;0.5, "Complete", "In Progress"))</f>
        <v>Complete</v>
      </c>
      <c r="BR4" s="205">
        <v>0</v>
      </c>
      <c r="BS4" s="205">
        <f t="shared" ref="BS4:BS10" si="20">MAX(BP4-BR4,0)</f>
        <v>0</v>
      </c>
      <c r="BT4" s="206" t="str">
        <f>IF(SUMPRODUCT($J$13:BS$13,$J4:BS4)&lt;0.5, "Pending", IF(BS4&lt;0.5, "Complete", "In Progress"))</f>
        <v>Complete</v>
      </c>
      <c r="BU4" s="205">
        <v>0</v>
      </c>
      <c r="BV4" s="205">
        <f t="shared" ref="BV4:BV10" si="21">MAX(BS4-BU4,0)</f>
        <v>0</v>
      </c>
      <c r="BW4" s="206" t="str">
        <f>IF(SUMPRODUCT($J$13:BV$13,$J4:BV4)&lt;0.5, "Pending", IF(BV4&lt;0.5, "Complete", "In Progress"))</f>
        <v>Complete</v>
      </c>
      <c r="BX4" s="205">
        <v>0</v>
      </c>
      <c r="BY4" s="205">
        <f t="shared" ref="BY4:BY10" si="22">MAX(BV4-BX4,0)</f>
        <v>0</v>
      </c>
      <c r="BZ4" s="206" t="str">
        <f>IF(SUMPRODUCT($J$13:BY$13,$J4:BY4)&lt;0.5, "Pending", IF(BY4&lt;0.5, "Complete", "In Progress"))</f>
        <v>Complete</v>
      </c>
      <c r="CA4" s="205">
        <v>0</v>
      </c>
      <c r="CB4" s="205">
        <f t="shared" ref="CB4:CB10" si="23">MAX(BY4-CA4,0)</f>
        <v>0</v>
      </c>
      <c r="CC4" s="206" t="str">
        <f>IF(SUMPRODUCT($J$13:CB$13,$J4:CB4)&lt;0.5, "Pending", IF(CB4&lt;0.5, "Complete", "In Progress"))</f>
        <v>Complete</v>
      </c>
      <c r="CD4" s="205">
        <v>0</v>
      </c>
      <c r="CE4" s="205">
        <f t="shared" ref="CE4:CE10" si="24">MAX(CB4-CD4,0)</f>
        <v>0</v>
      </c>
      <c r="CF4" s="206" t="str">
        <f>IF(SUMPRODUCT($J$13:CE$13,$J4:CE4)&lt;0.5, "Pending", IF(CE4&lt;0.5, "Complete", "In Progress"))</f>
        <v>Complete</v>
      </c>
      <c r="CG4" s="205">
        <v>0</v>
      </c>
      <c r="CH4" s="205">
        <f t="shared" ref="CH4:CH10" si="25">MAX(CE4-CG4,0)</f>
        <v>0</v>
      </c>
      <c r="CI4" s="206" t="str">
        <f>IF(SUMPRODUCT($J$13:CH$13,$J4:CH4)&lt;0.5, "Pending", IF(CH4&lt;0.5, "Complete", "In Progress"))</f>
        <v>Complete</v>
      </c>
      <c r="CJ4" s="205">
        <v>0</v>
      </c>
      <c r="CK4" s="205">
        <f t="shared" ref="CK4:CK10" si="26">MAX(CH4-CJ4,0)</f>
        <v>0</v>
      </c>
      <c r="CL4" s="206" t="str">
        <f>IF(SUMPRODUCT($J$13:CK$13,$J4:CK4)&lt;0.5, "Pending", IF(CK4&lt;0.5, "Complete", "In Progress"))</f>
        <v>Complete</v>
      </c>
      <c r="CM4" s="205">
        <v>0</v>
      </c>
      <c r="CN4" s="205">
        <f t="shared" ref="CN4:CN10" si="27">MAX(CK4-CM4,0)</f>
        <v>0</v>
      </c>
      <c r="CO4" s="206" t="str">
        <f>IF(SUMPRODUCT($J$13:CN$13,$J4:CN4)&lt;0.5, "Pending", IF(CN4&lt;0.5, "Complete", "In Progress"))</f>
        <v>Complete</v>
      </c>
      <c r="CP4" s="205">
        <v>0</v>
      </c>
      <c r="CQ4" s="205">
        <f t="shared" ref="CQ4:CQ10" si="28">MAX(CN4-CP4,0)</f>
        <v>0</v>
      </c>
      <c r="CR4" s="206" t="str">
        <f>IF(SUMPRODUCT($J$13:CQ$13,$J4:CQ4)&lt;0.5, "Pending", IF(CQ4&lt;0.5, "Complete", "In Progress"))</f>
        <v>Complete</v>
      </c>
      <c r="CS4" s="205">
        <v>0</v>
      </c>
      <c r="CT4" s="205">
        <f t="shared" ref="CT4:CT10" si="29">MAX(CQ4-CS4,0)</f>
        <v>0</v>
      </c>
      <c r="CU4" s="206" t="str">
        <f>IF(SUMPRODUCT($J$13:CT$13,$J4:CT4)&lt;0.5, "Pending", IF(CT4&lt;0.5, "Complete", "In Progress"))</f>
        <v>Complete</v>
      </c>
      <c r="CV4" s="205">
        <v>0</v>
      </c>
      <c r="CW4" s="205">
        <f t="shared" ref="CW4" si="30">MAX(CT4-CV4,0)</f>
        <v>0</v>
      </c>
      <c r="CX4" s="206" t="str">
        <f>IF(SUMPRODUCT($J$13:CW$13,$J4:CW4)&lt;0.5, "Pending", IF(CW4&lt;0.5, "Complete", "In Progress"))</f>
        <v>Complete</v>
      </c>
      <c r="CY4" s="205">
        <v>0</v>
      </c>
      <c r="CZ4" s="205">
        <f t="shared" ref="CZ4" si="31">MAX(CW4-CY4,0)</f>
        <v>0</v>
      </c>
      <c r="DA4" s="206" t="str">
        <f>IF(SUMPRODUCT($J$13:CZ$13,$J4:CZ4)&lt;0.5, "Pending", IF(CZ4&lt;0.5, "Complete", "In Progress"))</f>
        <v>Complete</v>
      </c>
      <c r="DB4" s="205">
        <v>0</v>
      </c>
      <c r="DC4" s="205">
        <f t="shared" ref="DC4" si="32">MAX(CZ4-DB4,0)</f>
        <v>0</v>
      </c>
      <c r="DD4" s="206" t="str">
        <f>IF(SUMPRODUCT($J$13:DC$13,$J4:DC4)&lt;0.5, "Pending", IF(DC4&lt;0.5, "Complete", "In Progress"))</f>
        <v>Complete</v>
      </c>
      <c r="DE4" s="205">
        <v>0</v>
      </c>
      <c r="DF4" s="205">
        <f t="shared" ref="DF4" si="33">MAX(DC4-DE4,0)</f>
        <v>0</v>
      </c>
      <c r="DG4" s="206" t="str">
        <f>IF(SUMPRODUCT($J$13:DF$13,$J4:DF4)&lt;0.5, "Pending", IF(DF4&lt;0.5, "Complete", "In Progress"))</f>
        <v>Complete</v>
      </c>
      <c r="DH4" s="205">
        <v>0</v>
      </c>
      <c r="DI4" s="205">
        <f t="shared" ref="DI4" si="34">MAX(DF4-DH4,0)</f>
        <v>0</v>
      </c>
      <c r="DJ4" s="206" t="str">
        <f>IF(SUMPRODUCT($J$13:DI$13,$J4:DI4)&lt;0.5, "Pending", IF(DI4&lt;0.5, "Complete", "In Progress"))</f>
        <v>Complete</v>
      </c>
      <c r="DK4" s="205">
        <v>0</v>
      </c>
      <c r="DL4" s="205">
        <f t="shared" ref="DL4" si="35">MAX(DI4-DK4,0)</f>
        <v>0</v>
      </c>
      <c r="DM4" s="206" t="str">
        <f>IF(SUMPRODUCT($J$13:DL$13,$J4:DL4)&lt;0.5, "Pending", IF(DL4&lt;0.5, "Complete", "In Progress"))</f>
        <v>Complete</v>
      </c>
      <c r="DN4" s="205">
        <v>0</v>
      </c>
      <c r="DO4" s="205">
        <f t="shared" ref="DO4" si="36">MAX(DL4-DN4,0)</f>
        <v>0</v>
      </c>
      <c r="DP4" s="206" t="str">
        <f>IF(SUMPRODUCT($J$13:DO$13,$J4:DO4)&lt;0.5, "Pending", IF(DO4&lt;0.5, "Complete", "In Progress"))</f>
        <v>Complete</v>
      </c>
      <c r="DQ4" s="205">
        <v>0</v>
      </c>
      <c r="DR4" s="205">
        <f t="shared" ref="DR4" si="37">MAX(DO4-DQ4,0)</f>
        <v>0</v>
      </c>
      <c r="DS4" s="206" t="str">
        <f>IF(SUMPRODUCT($J$13:DR$13,$J4:DR4)&lt;0.5, "Pending", IF(DR4&lt;0.5, "Complete", "In Progress"))</f>
        <v>Complete</v>
      </c>
      <c r="DT4" s="205">
        <v>0</v>
      </c>
      <c r="DU4" s="205">
        <f t="shared" ref="DU4" si="38">MAX(DR4-DT4,0)</f>
        <v>0</v>
      </c>
      <c r="DV4" s="206" t="str">
        <f>IF(SUMPRODUCT($J$13:DU$13,$J4:DU4)&lt;0.5, "Pending", IF(DU4&lt;0.5, "Complete", "In Progress"))</f>
        <v>Complete</v>
      </c>
      <c r="DW4" s="205">
        <v>0</v>
      </c>
      <c r="DX4" s="205">
        <f t="shared" ref="DX4" si="39">MAX(DU4-DW4,0)</f>
        <v>0</v>
      </c>
      <c r="DY4" s="206" t="str">
        <f>IF(SUMPRODUCT($J$13:DX$13,$J4:DX4)&lt;0.5, "Pending", IF(DX4&lt;0.5, "Complete", "In Progress"))</f>
        <v>Complete</v>
      </c>
      <c r="DZ4" s="207"/>
      <c r="EA4" s="208">
        <f>SUMPRODUCT($H$13:DG$13,$H4:DG4)</f>
        <v>1</v>
      </c>
    </row>
    <row r="5" spans="1:131" x14ac:dyDescent="0.25">
      <c r="A5" s="199"/>
      <c r="B5" s="199"/>
      <c r="C5" s="200" t="s">
        <v>148</v>
      </c>
      <c r="D5" s="201"/>
      <c r="E5" s="202"/>
      <c r="F5" s="5" t="s">
        <v>144</v>
      </c>
      <c r="G5" s="203" t="str">
        <f t="shared" ca="1" si="0"/>
        <v>Complete</v>
      </c>
      <c r="H5" s="5">
        <v>5</v>
      </c>
      <c r="I5" s="204">
        <v>1</v>
      </c>
      <c r="J5" s="204">
        <v>1</v>
      </c>
      <c r="K5" s="205">
        <f t="shared" si="1"/>
        <v>0</v>
      </c>
      <c r="L5" s="206" t="str">
        <f>IF(SUMPRODUCT($J$13:K$13,$J5:K5)&lt;0.5, "Pending", IF(K5&lt;0.5, "Complete", "In Progress"))</f>
        <v>Complete</v>
      </c>
      <c r="M5" s="205">
        <v>0</v>
      </c>
      <c r="N5" s="205">
        <f t="shared" si="2"/>
        <v>0</v>
      </c>
      <c r="O5" s="206" t="str">
        <f>IF(SUMPRODUCT($J$13:N$13,$J5:N5)&lt;0.5, "Pending", IF(N5&lt;0.5, "Complete", "In Progress"))</f>
        <v>Complete</v>
      </c>
      <c r="P5" s="205">
        <v>0</v>
      </c>
      <c r="Q5" s="205">
        <f t="shared" si="3"/>
        <v>0</v>
      </c>
      <c r="R5" s="206" t="str">
        <f>IF(SUMPRODUCT($J$13:Q$13,$J5:Q5)&lt;0.5, "Pending", IF(Q5&lt;0.5, "Complete", "In Progress"))</f>
        <v>Complete</v>
      </c>
      <c r="S5" s="205">
        <v>0</v>
      </c>
      <c r="T5" s="205">
        <f t="shared" si="4"/>
        <v>0</v>
      </c>
      <c r="U5" s="206" t="str">
        <f>IF(SUMPRODUCT($J$13:T$13,$J5:T5)&lt;0.5, "Pending", IF(T5&lt;0.5, "Complete", "In Progress"))</f>
        <v>Complete</v>
      </c>
      <c r="V5" s="205">
        <v>0</v>
      </c>
      <c r="W5" s="205">
        <f t="shared" si="5"/>
        <v>0</v>
      </c>
      <c r="X5" s="206" t="str">
        <f>IF(SUMPRODUCT($J$13:W$13,$J5:W5)&lt;0.5, "Pending", IF(W5&lt;0.5, "Complete", "In Progress"))</f>
        <v>Complete</v>
      </c>
      <c r="Y5" s="205">
        <v>0</v>
      </c>
      <c r="Z5" s="205">
        <f t="shared" si="6"/>
        <v>0</v>
      </c>
      <c r="AA5" s="206" t="str">
        <f>IF(SUMPRODUCT($J$13:Z$13,$J5:Z5)&lt;0.5, "Pending", IF(Z5&lt;0.5, "Complete", "In Progress"))</f>
        <v>Complete</v>
      </c>
      <c r="AB5" s="205">
        <v>0</v>
      </c>
      <c r="AC5" s="205">
        <f t="shared" si="7"/>
        <v>0</v>
      </c>
      <c r="AD5" s="206" t="str">
        <f>IF(SUMPRODUCT($J$13:AC$13,$J5:AC5)&lt;0.5, "Pending", IF(AC5&lt;0.5, "Complete", "In Progress"))</f>
        <v>Complete</v>
      </c>
      <c r="AE5" s="205">
        <v>0</v>
      </c>
      <c r="AF5" s="205">
        <f t="shared" si="8"/>
        <v>0</v>
      </c>
      <c r="AG5" s="206" t="str">
        <f>IF(SUMPRODUCT($J$13:AF$13,$J5:AF5)&lt;0.5, "Pending", IF(AF5&lt;0.5, "Complete", "In Progress"))</f>
        <v>Complete</v>
      </c>
      <c r="AH5" s="205">
        <v>0</v>
      </c>
      <c r="AI5" s="205">
        <f t="shared" si="9"/>
        <v>0</v>
      </c>
      <c r="AJ5" s="206" t="str">
        <f>IF(SUMPRODUCT($J$13:AI$13,$J5:AI5)&lt;0.5, "Pending", IF(AI5&lt;0.5, "Complete", "In Progress"))</f>
        <v>Complete</v>
      </c>
      <c r="AK5" s="205">
        <v>0</v>
      </c>
      <c r="AL5" s="205">
        <f t="shared" si="10"/>
        <v>0</v>
      </c>
      <c r="AM5" s="206" t="str">
        <f>IF(SUMPRODUCT($J$13:AL$13,$J5:AL5)&lt;0.5, "Pending", IF(AL5&lt;0.5, "Complete", "In Progress"))</f>
        <v>Complete</v>
      </c>
      <c r="AN5" s="205">
        <v>0</v>
      </c>
      <c r="AO5" s="205">
        <f t="shared" si="11"/>
        <v>0</v>
      </c>
      <c r="AP5" s="206" t="str">
        <f>IF(SUMPRODUCT($J$13:AO$13,$J5:AO5)&lt;0.5, "Pending", IF(AO5&lt;0.5, "Complete", "In Progress"))</f>
        <v>Complete</v>
      </c>
      <c r="AQ5" s="205">
        <v>0</v>
      </c>
      <c r="AR5" s="205">
        <f t="shared" si="12"/>
        <v>0</v>
      </c>
      <c r="AS5" s="206" t="str">
        <f>IF(SUMPRODUCT($J$13:AR$13,$J5:AR5)&lt;0.5, "Pending", IF(AR5&lt;0.5, "Complete", "In Progress"))</f>
        <v>Complete</v>
      </c>
      <c r="AT5" s="205">
        <v>0</v>
      </c>
      <c r="AU5" s="205">
        <f t="shared" si="13"/>
        <v>0</v>
      </c>
      <c r="AV5" s="206" t="str">
        <f>IF(SUMPRODUCT($J$13:AU$13,$J5:AU5)&lt;0.5, "Pending", IF(AU5&lt;0.5, "Complete", "In Progress"))</f>
        <v>Complete</v>
      </c>
      <c r="AW5" s="205">
        <v>0</v>
      </c>
      <c r="AX5" s="205">
        <f t="shared" si="14"/>
        <v>0</v>
      </c>
      <c r="AY5" s="206" t="str">
        <f>IF(SUMPRODUCT($J$13:AX$13,$J5:AX5)&lt;0.5, "Pending", IF(AX5&lt;0.5, "Complete", "In Progress"))</f>
        <v>Complete</v>
      </c>
      <c r="AZ5" s="205">
        <v>0</v>
      </c>
      <c r="BA5" s="205">
        <f t="shared" si="15"/>
        <v>0</v>
      </c>
      <c r="BB5" s="206" t="str">
        <f>IF(SUMPRODUCT($J$13:BA$13,$J5:BA5)&lt;0.5, "Pending", IF(BA5&lt;0.5, "Complete", "In Progress"))</f>
        <v>Complete</v>
      </c>
      <c r="BC5" s="205">
        <v>0</v>
      </c>
      <c r="BD5" s="205">
        <f t="shared" si="16"/>
        <v>0</v>
      </c>
      <c r="BE5" s="206" t="str">
        <f>IF(SUMPRODUCT($J$13:BD$13,$J5:BD5)&lt;0.5, "Pending", IF(BD5&lt;0.5, "Complete", "In Progress"))</f>
        <v>Complete</v>
      </c>
      <c r="BF5" s="205">
        <v>0</v>
      </c>
      <c r="BG5" s="205">
        <f t="shared" si="17"/>
        <v>0</v>
      </c>
      <c r="BH5" s="206" t="str">
        <f>IF(SUMPRODUCT($J$13:BG$13,$J5:BG5)&lt;0.5, "Pending", IF(BG5&lt;0.5, "Complete", "In Progress"))</f>
        <v>Complete</v>
      </c>
      <c r="BI5" s="205">
        <v>0</v>
      </c>
      <c r="BJ5" s="205">
        <f t="shared" ref="BJ5:BJ10" si="40">MAX(BG5-BI5,0)</f>
        <v>0</v>
      </c>
      <c r="BK5" s="206" t="str">
        <f>IF(SUMPRODUCT($J$13:BJ$13,$J5:BJ5)&lt;0.5, "Pending", IF(BJ5&lt;0.5, "Complete", "In Progress"))</f>
        <v>Complete</v>
      </c>
      <c r="BL5" s="205">
        <v>0</v>
      </c>
      <c r="BM5" s="205">
        <f t="shared" si="18"/>
        <v>0</v>
      </c>
      <c r="BN5" s="206" t="str">
        <f>IF(SUMPRODUCT($J$13:BM$13,$J5:BM5)&lt;0.5, "Pending", IF(BM5&lt;0.5, "Complete", "In Progress"))</f>
        <v>Complete</v>
      </c>
      <c r="BO5" s="205">
        <v>0</v>
      </c>
      <c r="BP5" s="205">
        <f t="shared" si="19"/>
        <v>0</v>
      </c>
      <c r="BQ5" s="206" t="str">
        <f>IF(SUMPRODUCT($J$13:BP$13,$J5:BP5)&lt;0.5, "Pending", IF(BP5&lt;0.5, "Complete", "In Progress"))</f>
        <v>Complete</v>
      </c>
      <c r="BR5" s="205">
        <v>0</v>
      </c>
      <c r="BS5" s="205">
        <f t="shared" si="20"/>
        <v>0</v>
      </c>
      <c r="BT5" s="206" t="str">
        <f>IF(SUMPRODUCT($J$13:BS$13,$J5:BS5)&lt;0.5, "Pending", IF(BS5&lt;0.5, "Complete", "In Progress"))</f>
        <v>Complete</v>
      </c>
      <c r="BU5" s="205">
        <v>0</v>
      </c>
      <c r="BV5" s="205">
        <f t="shared" si="21"/>
        <v>0</v>
      </c>
      <c r="BW5" s="206" t="str">
        <f>IF(SUMPRODUCT($J$13:BV$13,$J5:BV5)&lt;0.5, "Pending", IF(BV5&lt;0.5, "Complete", "In Progress"))</f>
        <v>Complete</v>
      </c>
      <c r="BX5" s="205">
        <v>0</v>
      </c>
      <c r="BY5" s="205">
        <f t="shared" si="22"/>
        <v>0</v>
      </c>
      <c r="BZ5" s="206" t="str">
        <f>IF(SUMPRODUCT($J$13:BY$13,$J5:BY5)&lt;0.5, "Pending", IF(BY5&lt;0.5, "Complete", "In Progress"))</f>
        <v>Complete</v>
      </c>
      <c r="CA5" s="205">
        <v>0</v>
      </c>
      <c r="CB5" s="205">
        <f t="shared" si="23"/>
        <v>0</v>
      </c>
      <c r="CC5" s="206" t="str">
        <f>IF(SUMPRODUCT($J$13:CB$13,$J5:CB5)&lt;0.5, "Pending", IF(CB5&lt;0.5, "Complete", "In Progress"))</f>
        <v>Complete</v>
      </c>
      <c r="CD5" s="205">
        <v>0</v>
      </c>
      <c r="CE5" s="205">
        <f t="shared" si="24"/>
        <v>0</v>
      </c>
      <c r="CF5" s="206" t="str">
        <f>IF(SUMPRODUCT($J$13:CE$13,$J5:CE5)&lt;0.5, "Pending", IF(CE5&lt;0.5, "Complete", "In Progress"))</f>
        <v>Complete</v>
      </c>
      <c r="CG5" s="205">
        <v>0</v>
      </c>
      <c r="CH5" s="205">
        <f t="shared" si="25"/>
        <v>0</v>
      </c>
      <c r="CI5" s="206" t="str">
        <f>IF(SUMPRODUCT($J$13:CH$13,$J5:CH5)&lt;0.5, "Pending", IF(CH5&lt;0.5, "Complete", "In Progress"))</f>
        <v>Complete</v>
      </c>
      <c r="CJ5" s="205">
        <v>0</v>
      </c>
      <c r="CK5" s="205">
        <f t="shared" si="26"/>
        <v>0</v>
      </c>
      <c r="CL5" s="206" t="str">
        <f>IF(SUMPRODUCT($J$13:CK$13,$J5:CK5)&lt;0.5, "Pending", IF(CK5&lt;0.5, "Complete", "In Progress"))</f>
        <v>Complete</v>
      </c>
      <c r="CM5" s="205">
        <v>0</v>
      </c>
      <c r="CN5" s="205">
        <f t="shared" si="27"/>
        <v>0</v>
      </c>
      <c r="CO5" s="206" t="str">
        <f>IF(SUMPRODUCT($J$13:CN$13,$J5:CN5)&lt;0.5, "Pending", IF(CN5&lt;0.5, "Complete", "In Progress"))</f>
        <v>Complete</v>
      </c>
      <c r="CP5" s="205">
        <v>0</v>
      </c>
      <c r="CQ5" s="205">
        <f t="shared" si="28"/>
        <v>0</v>
      </c>
      <c r="CR5" s="206" t="str">
        <f>IF(SUMPRODUCT($J$13:CQ$13,$J5:CQ5)&lt;0.5, "Pending", IF(CQ5&lt;0.5, "Complete", "In Progress"))</f>
        <v>Complete</v>
      </c>
      <c r="CS5" s="205">
        <v>0</v>
      </c>
      <c r="CT5" s="205">
        <f t="shared" si="29"/>
        <v>0</v>
      </c>
      <c r="CU5" s="206" t="str">
        <f>IF(SUMPRODUCT($J$13:CT$13,$J5:CT5)&lt;0.5, "Pending", IF(CT5&lt;0.5, "Complete", "In Progress"))</f>
        <v>Complete</v>
      </c>
      <c r="CV5" s="205">
        <v>0</v>
      </c>
      <c r="CW5" s="205">
        <f t="shared" ref="CW5" si="41">MAX(CT5-CV5,0)</f>
        <v>0</v>
      </c>
      <c r="CX5" s="206" t="str">
        <f>IF(SUMPRODUCT($J$13:CW$13,$J5:CW5)&lt;0.5, "Pending", IF(CW5&lt;0.5, "Complete", "In Progress"))</f>
        <v>Complete</v>
      </c>
      <c r="CY5" s="205">
        <v>0</v>
      </c>
      <c r="CZ5" s="205">
        <f t="shared" ref="CZ5" si="42">MAX(CW5-CY5,0)</f>
        <v>0</v>
      </c>
      <c r="DA5" s="206" t="str">
        <f>IF(SUMPRODUCT($J$13:CZ$13,$J5:CZ5)&lt;0.5, "Pending", IF(CZ5&lt;0.5, "Complete", "In Progress"))</f>
        <v>Complete</v>
      </c>
      <c r="DB5" s="205">
        <v>0</v>
      </c>
      <c r="DC5" s="205">
        <f t="shared" ref="DC5" si="43">MAX(CZ5-DB5,0)</f>
        <v>0</v>
      </c>
      <c r="DD5" s="206" t="str">
        <f>IF(SUMPRODUCT($J$13:DC$13,$J5:DC5)&lt;0.5, "Pending", IF(DC5&lt;0.5, "Complete", "In Progress"))</f>
        <v>Complete</v>
      </c>
      <c r="DE5" s="205">
        <v>0</v>
      </c>
      <c r="DF5" s="205">
        <f t="shared" ref="DF5" si="44">MAX(DC5-DE5,0)</f>
        <v>0</v>
      </c>
      <c r="DG5" s="206" t="str">
        <f>IF(SUMPRODUCT($J$13:DF$13,$J5:DF5)&lt;0.5, "Pending", IF(DF5&lt;0.5, "Complete", "In Progress"))</f>
        <v>Complete</v>
      </c>
      <c r="DH5" s="205">
        <v>0</v>
      </c>
      <c r="DI5" s="205">
        <f t="shared" ref="DI5" si="45">MAX(DF5-DH5,0)</f>
        <v>0</v>
      </c>
      <c r="DJ5" s="206" t="str">
        <f>IF(SUMPRODUCT($J$13:DI$13,$J5:DI5)&lt;0.5, "Pending", IF(DI5&lt;0.5, "Complete", "In Progress"))</f>
        <v>Complete</v>
      </c>
      <c r="DK5" s="205">
        <v>0</v>
      </c>
      <c r="DL5" s="205">
        <f t="shared" ref="DL5" si="46">MAX(DI5-DK5,0)</f>
        <v>0</v>
      </c>
      <c r="DM5" s="206" t="str">
        <f>IF(SUMPRODUCT($J$13:DL$13,$J5:DL5)&lt;0.5, "Pending", IF(DL5&lt;0.5, "Complete", "In Progress"))</f>
        <v>Complete</v>
      </c>
      <c r="DN5" s="205">
        <v>0</v>
      </c>
      <c r="DO5" s="205">
        <f t="shared" ref="DO5" si="47">MAX(DL5-DN5,0)</f>
        <v>0</v>
      </c>
      <c r="DP5" s="206" t="str">
        <f>IF(SUMPRODUCT($J$13:DO$13,$J5:DO5)&lt;0.5, "Pending", IF(DO5&lt;0.5, "Complete", "In Progress"))</f>
        <v>Complete</v>
      </c>
      <c r="DQ5" s="205">
        <v>0</v>
      </c>
      <c r="DR5" s="205">
        <f t="shared" ref="DR5" si="48">MAX(DO5-DQ5,0)</f>
        <v>0</v>
      </c>
      <c r="DS5" s="206" t="str">
        <f>IF(SUMPRODUCT($J$13:DR$13,$J5:DR5)&lt;0.5, "Pending", IF(DR5&lt;0.5, "Complete", "In Progress"))</f>
        <v>Complete</v>
      </c>
      <c r="DT5" s="205">
        <v>0</v>
      </c>
      <c r="DU5" s="205">
        <f t="shared" ref="DU5" si="49">MAX(DR5-DT5,0)</f>
        <v>0</v>
      </c>
      <c r="DV5" s="206" t="str">
        <f>IF(SUMPRODUCT($J$13:DU$13,$J5:DU5)&lt;0.5, "Pending", IF(DU5&lt;0.5, "Complete", "In Progress"))</f>
        <v>Complete</v>
      </c>
      <c r="DW5" s="205">
        <v>0</v>
      </c>
      <c r="DX5" s="205">
        <f t="shared" ref="DX5" si="50">MAX(DU5-DW5,0)</f>
        <v>0</v>
      </c>
      <c r="DY5" s="206" t="str">
        <f>IF(SUMPRODUCT($J$13:DX$13,$J5:DX5)&lt;0.5, "Pending", IF(DX5&lt;0.5, "Complete", "In Progress"))</f>
        <v>Complete</v>
      </c>
      <c r="DZ5" s="207"/>
      <c r="EA5" s="208">
        <f>SUMPRODUCT($H$13:DG$13,$H5:DG5)</f>
        <v>1</v>
      </c>
    </row>
    <row r="6" spans="1:131" x14ac:dyDescent="0.25">
      <c r="A6" s="199"/>
      <c r="B6" s="199"/>
      <c r="C6" s="200" t="s">
        <v>150</v>
      </c>
      <c r="D6" s="201"/>
      <c r="E6" s="202"/>
      <c r="F6" s="5" t="s">
        <v>144</v>
      </c>
      <c r="G6" s="203" t="str">
        <f t="shared" ca="1" si="0"/>
        <v>Complete</v>
      </c>
      <c r="H6" s="5">
        <v>5</v>
      </c>
      <c r="I6" s="204">
        <v>3</v>
      </c>
      <c r="J6" s="204">
        <v>3</v>
      </c>
      <c r="K6" s="205">
        <f t="shared" si="1"/>
        <v>0</v>
      </c>
      <c r="L6" s="206" t="str">
        <f>IF(SUMPRODUCT($J$13:K$13,$J6:K6)&lt;0.5, "Pending", IF(K6&lt;0.5, "Complete", "In Progress"))</f>
        <v>Complete</v>
      </c>
      <c r="M6" s="205">
        <v>0</v>
      </c>
      <c r="N6" s="205">
        <f t="shared" si="2"/>
        <v>0</v>
      </c>
      <c r="O6" s="206" t="str">
        <f>IF(SUMPRODUCT($J$13:N$13,$J6:N6)&lt;0.5, "Pending", IF(N6&lt;0.5, "Complete", "In Progress"))</f>
        <v>Complete</v>
      </c>
      <c r="P6" s="205">
        <v>0</v>
      </c>
      <c r="Q6" s="205">
        <f t="shared" si="3"/>
        <v>0</v>
      </c>
      <c r="R6" s="206" t="str">
        <f>IF(SUMPRODUCT($J$13:Q$13,$J6:Q6)&lt;0.5, "Pending", IF(Q6&lt;0.5, "Complete", "In Progress"))</f>
        <v>Complete</v>
      </c>
      <c r="S6" s="205">
        <v>0</v>
      </c>
      <c r="T6" s="205">
        <f t="shared" si="4"/>
        <v>0</v>
      </c>
      <c r="U6" s="206" t="str">
        <f>IF(SUMPRODUCT($J$13:T$13,$J6:T6)&lt;0.5, "Pending", IF(T6&lt;0.5, "Complete", "In Progress"))</f>
        <v>Complete</v>
      </c>
      <c r="V6" s="205">
        <v>0</v>
      </c>
      <c r="W6" s="205">
        <f t="shared" si="5"/>
        <v>0</v>
      </c>
      <c r="X6" s="206" t="str">
        <f>IF(SUMPRODUCT($J$13:W$13,$J6:W6)&lt;0.5, "Pending", IF(W6&lt;0.5, "Complete", "In Progress"))</f>
        <v>Complete</v>
      </c>
      <c r="Y6" s="205">
        <v>0</v>
      </c>
      <c r="Z6" s="205">
        <f t="shared" si="6"/>
        <v>0</v>
      </c>
      <c r="AA6" s="206" t="str">
        <f>IF(SUMPRODUCT($J$13:Z$13,$J6:Z6)&lt;0.5, "Pending", IF(Z6&lt;0.5, "Complete", "In Progress"))</f>
        <v>Complete</v>
      </c>
      <c r="AB6" s="205">
        <v>0</v>
      </c>
      <c r="AC6" s="205">
        <f t="shared" si="7"/>
        <v>0</v>
      </c>
      <c r="AD6" s="206" t="str">
        <f>IF(SUMPRODUCT($J$13:AC$13,$J6:AC6)&lt;0.5, "Pending", IF(AC6&lt;0.5, "Complete", "In Progress"))</f>
        <v>Complete</v>
      </c>
      <c r="AE6" s="205">
        <v>0</v>
      </c>
      <c r="AF6" s="205">
        <f t="shared" si="8"/>
        <v>0</v>
      </c>
      <c r="AG6" s="206" t="str">
        <f>IF(SUMPRODUCT($J$13:AF$13,$J6:AF6)&lt;0.5, "Pending", IF(AF6&lt;0.5, "Complete", "In Progress"))</f>
        <v>Complete</v>
      </c>
      <c r="AH6" s="205">
        <v>0</v>
      </c>
      <c r="AI6" s="205">
        <f t="shared" si="9"/>
        <v>0</v>
      </c>
      <c r="AJ6" s="206" t="str">
        <f>IF(SUMPRODUCT($J$13:AI$13,$J6:AI6)&lt;0.5, "Pending", IF(AI6&lt;0.5, "Complete", "In Progress"))</f>
        <v>Complete</v>
      </c>
      <c r="AK6" s="205">
        <v>0</v>
      </c>
      <c r="AL6" s="205">
        <f t="shared" si="10"/>
        <v>0</v>
      </c>
      <c r="AM6" s="206" t="str">
        <f>IF(SUMPRODUCT($J$13:AL$13,$J6:AL6)&lt;0.5, "Pending", IF(AL6&lt;0.5, "Complete", "In Progress"))</f>
        <v>Complete</v>
      </c>
      <c r="AN6" s="205">
        <v>0</v>
      </c>
      <c r="AO6" s="205">
        <f t="shared" si="11"/>
        <v>0</v>
      </c>
      <c r="AP6" s="206" t="str">
        <f>IF(SUMPRODUCT($J$13:AO$13,$J6:AO6)&lt;0.5, "Pending", IF(AO6&lt;0.5, "Complete", "In Progress"))</f>
        <v>Complete</v>
      </c>
      <c r="AQ6" s="205">
        <v>0</v>
      </c>
      <c r="AR6" s="205">
        <f t="shared" si="12"/>
        <v>0</v>
      </c>
      <c r="AS6" s="206" t="str">
        <f>IF(SUMPRODUCT($J$13:AR$13,$J6:AR6)&lt;0.5, "Pending", IF(AR6&lt;0.5, "Complete", "In Progress"))</f>
        <v>Complete</v>
      </c>
      <c r="AT6" s="205">
        <v>0</v>
      </c>
      <c r="AU6" s="205">
        <f t="shared" si="13"/>
        <v>0</v>
      </c>
      <c r="AV6" s="206" t="str">
        <f>IF(SUMPRODUCT($J$13:AU$13,$J6:AU6)&lt;0.5, "Pending", IF(AU6&lt;0.5, "Complete", "In Progress"))</f>
        <v>Complete</v>
      </c>
      <c r="AW6" s="205">
        <v>0</v>
      </c>
      <c r="AX6" s="205">
        <f t="shared" si="14"/>
        <v>0</v>
      </c>
      <c r="AY6" s="206" t="str">
        <f>IF(SUMPRODUCT($J$13:AX$13,$J6:AX6)&lt;0.5, "Pending", IF(AX6&lt;0.5, "Complete", "In Progress"))</f>
        <v>Complete</v>
      </c>
      <c r="AZ6" s="205">
        <v>0</v>
      </c>
      <c r="BA6" s="205">
        <f t="shared" si="15"/>
        <v>0</v>
      </c>
      <c r="BB6" s="206" t="str">
        <f>IF(SUMPRODUCT($J$13:BA$13,$J6:BA6)&lt;0.5, "Pending", IF(BA6&lt;0.5, "Complete", "In Progress"))</f>
        <v>Complete</v>
      </c>
      <c r="BC6" s="205">
        <v>0</v>
      </c>
      <c r="BD6" s="205">
        <f t="shared" si="16"/>
        <v>0</v>
      </c>
      <c r="BE6" s="206" t="str">
        <f>IF(SUMPRODUCT($J$13:BD$13,$J6:BD6)&lt;0.5, "Pending", IF(BD6&lt;0.5, "Complete", "In Progress"))</f>
        <v>Complete</v>
      </c>
      <c r="BF6" s="205">
        <v>0</v>
      </c>
      <c r="BG6" s="205">
        <f t="shared" si="17"/>
        <v>0</v>
      </c>
      <c r="BH6" s="206" t="str">
        <f>IF(SUMPRODUCT($J$13:BG$13,$J6:BG6)&lt;0.5, "Pending", IF(BG6&lt;0.5, "Complete", "In Progress"))</f>
        <v>Complete</v>
      </c>
      <c r="BI6" s="205">
        <v>0</v>
      </c>
      <c r="BJ6" s="205">
        <f t="shared" si="40"/>
        <v>0</v>
      </c>
      <c r="BK6" s="206" t="str">
        <f>IF(SUMPRODUCT($J$13:BJ$13,$J6:BJ6)&lt;0.5, "Pending", IF(BJ6&lt;0.5, "Complete", "In Progress"))</f>
        <v>Complete</v>
      </c>
      <c r="BL6" s="205">
        <v>0</v>
      </c>
      <c r="BM6" s="205">
        <f t="shared" si="18"/>
        <v>0</v>
      </c>
      <c r="BN6" s="206" t="str">
        <f>IF(SUMPRODUCT($J$13:BM$13,$J6:BM6)&lt;0.5, "Pending", IF(BM6&lt;0.5, "Complete", "In Progress"))</f>
        <v>Complete</v>
      </c>
      <c r="BO6" s="205">
        <v>0</v>
      </c>
      <c r="BP6" s="205">
        <f t="shared" si="19"/>
        <v>0</v>
      </c>
      <c r="BQ6" s="206" t="str">
        <f>IF(SUMPRODUCT($J$13:BP$13,$J6:BP6)&lt;0.5, "Pending", IF(BP6&lt;0.5, "Complete", "In Progress"))</f>
        <v>Complete</v>
      </c>
      <c r="BR6" s="205">
        <v>0</v>
      </c>
      <c r="BS6" s="205">
        <f t="shared" si="20"/>
        <v>0</v>
      </c>
      <c r="BT6" s="206" t="str">
        <f>IF(SUMPRODUCT($J$13:BS$13,$J6:BS6)&lt;0.5, "Pending", IF(BS6&lt;0.5, "Complete", "In Progress"))</f>
        <v>Complete</v>
      </c>
      <c r="BU6" s="205">
        <v>0</v>
      </c>
      <c r="BV6" s="205">
        <f t="shared" si="21"/>
        <v>0</v>
      </c>
      <c r="BW6" s="206" t="str">
        <f>IF(SUMPRODUCT($J$13:BV$13,$J6:BV6)&lt;0.5, "Pending", IF(BV6&lt;0.5, "Complete", "In Progress"))</f>
        <v>Complete</v>
      </c>
      <c r="BX6" s="205">
        <v>0</v>
      </c>
      <c r="BY6" s="205">
        <f t="shared" si="22"/>
        <v>0</v>
      </c>
      <c r="BZ6" s="206" t="str">
        <f>IF(SUMPRODUCT($J$13:BY$13,$J6:BY6)&lt;0.5, "Pending", IF(BY6&lt;0.5, "Complete", "In Progress"))</f>
        <v>Complete</v>
      </c>
      <c r="CA6" s="205">
        <v>0</v>
      </c>
      <c r="CB6" s="205">
        <f t="shared" si="23"/>
        <v>0</v>
      </c>
      <c r="CC6" s="206" t="str">
        <f>IF(SUMPRODUCT($J$13:CB$13,$J6:CB6)&lt;0.5, "Pending", IF(CB6&lt;0.5, "Complete", "In Progress"))</f>
        <v>Complete</v>
      </c>
      <c r="CD6" s="205">
        <v>0</v>
      </c>
      <c r="CE6" s="205">
        <f t="shared" si="24"/>
        <v>0</v>
      </c>
      <c r="CF6" s="206" t="str">
        <f>IF(SUMPRODUCT($J$13:CE$13,$J6:CE6)&lt;0.5, "Pending", IF(CE6&lt;0.5, "Complete", "In Progress"))</f>
        <v>Complete</v>
      </c>
      <c r="CG6" s="205">
        <v>0</v>
      </c>
      <c r="CH6" s="205">
        <f t="shared" si="25"/>
        <v>0</v>
      </c>
      <c r="CI6" s="206" t="str">
        <f>IF(SUMPRODUCT($J$13:CH$13,$J6:CH6)&lt;0.5, "Pending", IF(CH6&lt;0.5, "Complete", "In Progress"))</f>
        <v>Complete</v>
      </c>
      <c r="CJ6" s="205">
        <v>0</v>
      </c>
      <c r="CK6" s="205">
        <f t="shared" si="26"/>
        <v>0</v>
      </c>
      <c r="CL6" s="206" t="str">
        <f>IF(SUMPRODUCT($J$13:CK$13,$J6:CK6)&lt;0.5, "Pending", IF(CK6&lt;0.5, "Complete", "In Progress"))</f>
        <v>Complete</v>
      </c>
      <c r="CM6" s="205">
        <v>0</v>
      </c>
      <c r="CN6" s="205">
        <f t="shared" si="27"/>
        <v>0</v>
      </c>
      <c r="CO6" s="206" t="str">
        <f>IF(SUMPRODUCT($J$13:CN$13,$J6:CN6)&lt;0.5, "Pending", IF(CN6&lt;0.5, "Complete", "In Progress"))</f>
        <v>Complete</v>
      </c>
      <c r="CP6" s="205">
        <v>0</v>
      </c>
      <c r="CQ6" s="205">
        <f t="shared" si="28"/>
        <v>0</v>
      </c>
      <c r="CR6" s="206" t="str">
        <f>IF(SUMPRODUCT($J$13:CQ$13,$J6:CQ6)&lt;0.5, "Pending", IF(CQ6&lt;0.5, "Complete", "In Progress"))</f>
        <v>Complete</v>
      </c>
      <c r="CS6" s="205">
        <v>0</v>
      </c>
      <c r="CT6" s="205">
        <f t="shared" si="29"/>
        <v>0</v>
      </c>
      <c r="CU6" s="206" t="str">
        <f>IF(SUMPRODUCT($J$13:CT$13,$J6:CT6)&lt;0.5, "Pending", IF(CT6&lt;0.5, "Complete", "In Progress"))</f>
        <v>Complete</v>
      </c>
      <c r="CV6" s="205">
        <v>0</v>
      </c>
      <c r="CW6" s="205">
        <f t="shared" ref="CW6:CW9" si="51">MAX(CT6-CV6,0)</f>
        <v>0</v>
      </c>
      <c r="CX6" s="206" t="str">
        <f>IF(SUMPRODUCT($J$13:CW$13,$J6:CW6)&lt;0.5, "Pending", IF(CW6&lt;0.5, "Complete", "In Progress"))</f>
        <v>Complete</v>
      </c>
      <c r="CY6" s="205">
        <v>0</v>
      </c>
      <c r="CZ6" s="205">
        <f t="shared" ref="CZ6:CZ9" si="52">MAX(CW6-CY6,0)</f>
        <v>0</v>
      </c>
      <c r="DA6" s="206" t="str">
        <f>IF(SUMPRODUCT($J$13:CZ$13,$J6:CZ6)&lt;0.5, "Pending", IF(CZ6&lt;0.5, "Complete", "In Progress"))</f>
        <v>Complete</v>
      </c>
      <c r="DB6" s="205">
        <v>0</v>
      </c>
      <c r="DC6" s="205">
        <f t="shared" ref="DC6:DC9" si="53">MAX(CZ6-DB6,0)</f>
        <v>0</v>
      </c>
      <c r="DD6" s="206" t="str">
        <f>IF(SUMPRODUCT($J$13:DC$13,$J6:DC6)&lt;0.5, "Pending", IF(DC6&lt;0.5, "Complete", "In Progress"))</f>
        <v>Complete</v>
      </c>
      <c r="DE6" s="205">
        <v>0</v>
      </c>
      <c r="DF6" s="205">
        <f t="shared" ref="DF6:DF9" si="54">MAX(DC6-DE6,0)</f>
        <v>0</v>
      </c>
      <c r="DG6" s="206" t="str">
        <f>IF(SUMPRODUCT($J$13:DF$13,$J6:DF6)&lt;0.5, "Pending", IF(DF6&lt;0.5, "Complete", "In Progress"))</f>
        <v>Complete</v>
      </c>
      <c r="DH6" s="205">
        <v>0</v>
      </c>
      <c r="DI6" s="205">
        <f t="shared" ref="DI6:DI9" si="55">MAX(DF6-DH6,0)</f>
        <v>0</v>
      </c>
      <c r="DJ6" s="206" t="str">
        <f>IF(SUMPRODUCT($J$13:DI$13,$J6:DI6)&lt;0.5, "Pending", IF(DI6&lt;0.5, "Complete", "In Progress"))</f>
        <v>Complete</v>
      </c>
      <c r="DK6" s="205">
        <v>0</v>
      </c>
      <c r="DL6" s="205">
        <f t="shared" ref="DL6:DL9" si="56">MAX(DI6-DK6,0)</f>
        <v>0</v>
      </c>
      <c r="DM6" s="206" t="str">
        <f>IF(SUMPRODUCT($J$13:DL$13,$J6:DL6)&lt;0.5, "Pending", IF(DL6&lt;0.5, "Complete", "In Progress"))</f>
        <v>Complete</v>
      </c>
      <c r="DN6" s="205">
        <v>0</v>
      </c>
      <c r="DO6" s="205">
        <f t="shared" ref="DO6:DO9" si="57">MAX(DL6-DN6,0)</f>
        <v>0</v>
      </c>
      <c r="DP6" s="206" t="str">
        <f>IF(SUMPRODUCT($J$13:DO$13,$J6:DO6)&lt;0.5, "Pending", IF(DO6&lt;0.5, "Complete", "In Progress"))</f>
        <v>Complete</v>
      </c>
      <c r="DQ6" s="205">
        <v>0</v>
      </c>
      <c r="DR6" s="205">
        <f t="shared" ref="DR6:DR9" si="58">MAX(DO6-DQ6,0)</f>
        <v>0</v>
      </c>
      <c r="DS6" s="206" t="str">
        <f>IF(SUMPRODUCT($J$13:DR$13,$J6:DR6)&lt;0.5, "Pending", IF(DR6&lt;0.5, "Complete", "In Progress"))</f>
        <v>Complete</v>
      </c>
      <c r="DT6" s="205">
        <v>0</v>
      </c>
      <c r="DU6" s="205">
        <f t="shared" ref="DU6:DU9" si="59">MAX(DR6-DT6,0)</f>
        <v>0</v>
      </c>
      <c r="DV6" s="206" t="str">
        <f>IF(SUMPRODUCT($J$13:DU$13,$J6:DU6)&lt;0.5, "Pending", IF(DU6&lt;0.5, "Complete", "In Progress"))</f>
        <v>Complete</v>
      </c>
      <c r="DW6" s="205">
        <v>0</v>
      </c>
      <c r="DX6" s="205">
        <f t="shared" ref="DX6:DX9" si="60">MAX(DU6-DW6,0)</f>
        <v>0</v>
      </c>
      <c r="DY6" s="206" t="str">
        <f>IF(SUMPRODUCT($J$13:DX$13,$J6:DX6)&lt;0.5, "Pending", IF(DX6&lt;0.5, "Complete", "In Progress"))</f>
        <v>Complete</v>
      </c>
      <c r="DZ6" s="207"/>
      <c r="EA6" s="208">
        <f>SUMPRODUCT($H$13:DG$13,$H6:DG6)</f>
        <v>3</v>
      </c>
    </row>
    <row r="7" spans="1:131" s="224" customFormat="1" x14ac:dyDescent="0.25">
      <c r="A7" s="199"/>
      <c r="B7" s="199"/>
      <c r="C7" s="200" t="s">
        <v>151</v>
      </c>
      <c r="D7" s="201"/>
      <c r="E7" s="202"/>
      <c r="F7" s="5" t="s">
        <v>144</v>
      </c>
      <c r="G7" s="203" t="str">
        <f t="shared" ca="1" si="0"/>
        <v>In Progress</v>
      </c>
      <c r="H7" s="5">
        <v>5</v>
      </c>
      <c r="I7" s="204">
        <v>16</v>
      </c>
      <c r="J7" s="204">
        <v>0</v>
      </c>
      <c r="K7" s="205">
        <f t="shared" ref="K7:K9" si="61">MAX(I7-J7, 0)</f>
        <v>16</v>
      </c>
      <c r="L7" s="206" t="str">
        <f>IF(SUMPRODUCT($J$13:K$13,$J7:K7)&lt;0.5, "Pending", IF(K7&lt;0.5, "Complete", "In Progress"))</f>
        <v>Pending</v>
      </c>
      <c r="M7" s="205">
        <v>0</v>
      </c>
      <c r="N7" s="205">
        <f t="shared" ref="N7:N9" si="62">MAX(K7-M7,0)</f>
        <v>16</v>
      </c>
      <c r="O7" s="206" t="str">
        <f>IF(SUMPRODUCT($J$13:N$13,$J7:N7)&lt;0.5, "Pending", IF(N7&lt;0.5, "Complete", "In Progress"))</f>
        <v>Pending</v>
      </c>
      <c r="P7" s="205">
        <v>0</v>
      </c>
      <c r="Q7" s="205">
        <f t="shared" ref="Q7:Q9" si="63">MAX(N7-P7,0)</f>
        <v>16</v>
      </c>
      <c r="R7" s="206" t="str">
        <f>IF(SUMPRODUCT($J$13:Q$13,$J7:Q7)&lt;0.5, "Pending", IF(Q7&lt;0.5, "Complete", "In Progress"))</f>
        <v>Pending</v>
      </c>
      <c r="S7" s="205">
        <v>0</v>
      </c>
      <c r="T7" s="205">
        <f t="shared" ref="T7:T9" si="64">MAX(Q7-S7,0)</f>
        <v>16</v>
      </c>
      <c r="U7" s="206" t="str">
        <f>IF(SUMPRODUCT($J$13:T$13,$J7:T7)&lt;0.5, "Pending", IF(T7&lt;0.5, "Complete", "In Progress"))</f>
        <v>Pending</v>
      </c>
      <c r="V7" s="205">
        <v>2</v>
      </c>
      <c r="W7" s="205">
        <f t="shared" ref="W7:W9" si="65">MAX(T7-V7,0)</f>
        <v>14</v>
      </c>
      <c r="X7" s="206" t="str">
        <f>IF(SUMPRODUCT($J$13:W$13,$J7:W7)&lt;0.5, "Pending", IF(W7&lt;0.5, "Complete", "In Progress"))</f>
        <v>In Progress</v>
      </c>
      <c r="Y7" s="205">
        <v>0</v>
      </c>
      <c r="Z7" s="205">
        <f t="shared" ref="Z7:Z9" si="66">MAX(W7-Y7,0)</f>
        <v>14</v>
      </c>
      <c r="AA7" s="206" t="str">
        <f>IF(SUMPRODUCT($J$13:Z$13,$J7:Z7)&lt;0.5, "Pending", IF(Z7&lt;0.5, "Complete", "In Progress"))</f>
        <v>In Progress</v>
      </c>
      <c r="AB7" s="205">
        <v>0</v>
      </c>
      <c r="AC7" s="205">
        <f t="shared" ref="AC7:AC9" si="67">MAX(Z7-AB7,0)</f>
        <v>14</v>
      </c>
      <c r="AD7" s="206" t="str">
        <f>IF(SUMPRODUCT($J$13:AC$13,$J7:AC7)&lt;0.5, "Pending", IF(AC7&lt;0.5, "Complete", "In Progress"))</f>
        <v>In Progress</v>
      </c>
      <c r="AE7" s="205">
        <v>0</v>
      </c>
      <c r="AF7" s="205">
        <f t="shared" ref="AF7:AF9" si="68">MAX(AC7-AE7,0)</f>
        <v>14</v>
      </c>
      <c r="AG7" s="206" t="str">
        <f>IF(SUMPRODUCT($J$13:AF$13,$J7:AF7)&lt;0.5, "Pending", IF(AF7&lt;0.5, "Complete", "In Progress"))</f>
        <v>In Progress</v>
      </c>
      <c r="AH7" s="205">
        <v>0</v>
      </c>
      <c r="AI7" s="205">
        <f t="shared" ref="AI7:AI9" si="69">MAX(AF7-AH7,0)</f>
        <v>14</v>
      </c>
      <c r="AJ7" s="206" t="str">
        <f>IF(SUMPRODUCT($J$13:AI$13,$J7:AI7)&lt;0.5, "Pending", IF(AI7&lt;0.5, "Complete", "In Progress"))</f>
        <v>In Progress</v>
      </c>
      <c r="AK7" s="205">
        <v>0</v>
      </c>
      <c r="AL7" s="205">
        <f t="shared" ref="AL7:AL9" si="70">MAX(AI7-AK7,0)</f>
        <v>14</v>
      </c>
      <c r="AM7" s="206" t="str">
        <f>IF(SUMPRODUCT($J$13:AL$13,$J7:AL7)&lt;0.5, "Pending", IF(AL7&lt;0.5, "Complete", "In Progress"))</f>
        <v>In Progress</v>
      </c>
      <c r="AN7" s="205">
        <v>0</v>
      </c>
      <c r="AO7" s="205">
        <f t="shared" ref="AO7:AO9" si="71">MAX(AL7-AN7,0)</f>
        <v>14</v>
      </c>
      <c r="AP7" s="206" t="str">
        <f>IF(SUMPRODUCT($J$13:AO$13,$J7:AO7)&lt;0.5, "Pending", IF(AO7&lt;0.5, "Complete", "In Progress"))</f>
        <v>In Progress</v>
      </c>
      <c r="AQ7" s="205">
        <v>0</v>
      </c>
      <c r="AR7" s="205">
        <f t="shared" ref="AR7:AR9" si="72">MAX(AO7-AQ7,0)</f>
        <v>14</v>
      </c>
      <c r="AS7" s="206" t="str">
        <f>IF(SUMPRODUCT($J$13:AR$13,$J7:AR7)&lt;0.5, "Pending", IF(AR7&lt;0.5, "Complete", "In Progress"))</f>
        <v>In Progress</v>
      </c>
      <c r="AT7" s="205">
        <v>0</v>
      </c>
      <c r="AU7" s="205">
        <f t="shared" ref="AU7:AU9" si="73">MAX(AR7-AT7,0)</f>
        <v>14</v>
      </c>
      <c r="AV7" s="206" t="str">
        <f>IF(SUMPRODUCT($J$13:AU$13,$J7:AU7)&lt;0.5, "Pending", IF(AU7&lt;0.5, "Complete", "In Progress"))</f>
        <v>In Progress</v>
      </c>
      <c r="AW7" s="205">
        <v>0</v>
      </c>
      <c r="AX7" s="205">
        <f t="shared" ref="AX7:AX9" si="74">MAX(AU7-AW7,0)</f>
        <v>14</v>
      </c>
      <c r="AY7" s="206" t="str">
        <f>IF(SUMPRODUCT($J$13:AX$13,$J7:AX7)&lt;0.5, "Pending", IF(AX7&lt;0.5, "Complete", "In Progress"))</f>
        <v>In Progress</v>
      </c>
      <c r="AZ7" s="205">
        <v>0</v>
      </c>
      <c r="BA7" s="205">
        <f t="shared" ref="BA7:BA9" si="75">MAX(AX7-AZ7,0)</f>
        <v>14</v>
      </c>
      <c r="BB7" s="206" t="str">
        <f>IF(SUMPRODUCT($J$13:BA$13,$J7:BA7)&lt;0.5, "Pending", IF(BA7&lt;0.5, "Complete", "In Progress"))</f>
        <v>In Progress</v>
      </c>
      <c r="BC7" s="205">
        <v>0</v>
      </c>
      <c r="BD7" s="205">
        <f t="shared" ref="BD7:BD9" si="76">MAX(BA7-BC7,0)</f>
        <v>14</v>
      </c>
      <c r="BE7" s="206" t="str">
        <f>IF(SUMPRODUCT($J$13:BD$13,$J7:BD7)&lt;0.5, "Pending", IF(BD7&lt;0.5, "Complete", "In Progress"))</f>
        <v>In Progress</v>
      </c>
      <c r="BF7" s="205">
        <v>0</v>
      </c>
      <c r="BG7" s="205">
        <f t="shared" ref="BG7:BG9" si="77">MAX(BD7-BF7,0)</f>
        <v>14</v>
      </c>
      <c r="BH7" s="206" t="str">
        <f>IF(SUMPRODUCT($J$13:BG$13,$J7:BG7)&lt;0.5, "Pending", IF(BG7&lt;0.5, "Complete", "In Progress"))</f>
        <v>In Progress</v>
      </c>
      <c r="BI7" s="205">
        <v>0</v>
      </c>
      <c r="BJ7" s="205">
        <f t="shared" ref="BJ7:BJ9" si="78">MAX(BG7-BI7,0)</f>
        <v>14</v>
      </c>
      <c r="BK7" s="206" t="str">
        <f>IF(SUMPRODUCT($J$13:BJ$13,$J7:BJ7)&lt;0.5, "Pending", IF(BJ7&lt;0.5, "Complete", "In Progress"))</f>
        <v>In Progress</v>
      </c>
      <c r="BL7" s="205">
        <v>0</v>
      </c>
      <c r="BM7" s="205">
        <f t="shared" ref="BM7:BM9" si="79">MAX(BJ7-BL7,0)</f>
        <v>14</v>
      </c>
      <c r="BN7" s="206" t="str">
        <f>IF(SUMPRODUCT($J$13:BM$13,$J7:BM7)&lt;0.5, "Pending", IF(BM7&lt;0.5, "Complete", "In Progress"))</f>
        <v>In Progress</v>
      </c>
      <c r="BO7" s="205">
        <v>0</v>
      </c>
      <c r="BP7" s="205">
        <f t="shared" ref="BP7:BP9" si="80">MAX(BM7-BO7,0)</f>
        <v>14</v>
      </c>
      <c r="BQ7" s="206" t="str">
        <f>IF(SUMPRODUCT($J$13:BP$13,$J7:BP7)&lt;0.5, "Pending", IF(BP7&lt;0.5, "Complete", "In Progress"))</f>
        <v>In Progress</v>
      </c>
      <c r="BR7" s="205">
        <v>0</v>
      </c>
      <c r="BS7" s="205">
        <f t="shared" ref="BS7:BS9" si="81">MAX(BP7-BR7,0)</f>
        <v>14</v>
      </c>
      <c r="BT7" s="206" t="str">
        <f>IF(SUMPRODUCT($J$13:BS$13,$J7:BS7)&lt;0.5, "Pending", IF(BS7&lt;0.5, "Complete", "In Progress"))</f>
        <v>In Progress</v>
      </c>
      <c r="BU7" s="205">
        <v>0</v>
      </c>
      <c r="BV7" s="205">
        <f t="shared" ref="BV7:BV9" si="82">MAX(BS7-BU7,0)</f>
        <v>14</v>
      </c>
      <c r="BW7" s="206" t="str">
        <f>IF(SUMPRODUCT($J$13:BV$13,$J7:BV7)&lt;0.5, "Pending", IF(BV7&lt;0.5, "Complete", "In Progress"))</f>
        <v>In Progress</v>
      </c>
      <c r="BX7" s="205">
        <v>0</v>
      </c>
      <c r="BY7" s="205">
        <f t="shared" ref="BY7:BY9" si="83">MAX(BV7-BX7,0)</f>
        <v>14</v>
      </c>
      <c r="BZ7" s="206" t="str">
        <f>IF(SUMPRODUCT($J$13:BY$13,$J7:BY7)&lt;0.5, "Pending", IF(BY7&lt;0.5, "Complete", "In Progress"))</f>
        <v>In Progress</v>
      </c>
      <c r="CA7" s="205">
        <v>0</v>
      </c>
      <c r="CB7" s="205">
        <f t="shared" ref="CB7:CB9" si="84">MAX(BY7-CA7,0)</f>
        <v>14</v>
      </c>
      <c r="CC7" s="206" t="str">
        <f>IF(SUMPRODUCT($J$13:CB$13,$J7:CB7)&lt;0.5, "Pending", IF(CB7&lt;0.5, "Complete", "In Progress"))</f>
        <v>In Progress</v>
      </c>
      <c r="CD7" s="205">
        <v>0</v>
      </c>
      <c r="CE7" s="205">
        <f t="shared" ref="CE7:CE9" si="85">MAX(CB7-CD7,0)</f>
        <v>14</v>
      </c>
      <c r="CF7" s="206" t="str">
        <f>IF(SUMPRODUCT($J$13:CE$13,$J7:CE7)&lt;0.5, "Pending", IF(CE7&lt;0.5, "Complete", "In Progress"))</f>
        <v>In Progress</v>
      </c>
      <c r="CG7" s="205">
        <v>0</v>
      </c>
      <c r="CH7" s="205">
        <f t="shared" ref="CH7:CH9" si="86">MAX(CE7-CG7,0)</f>
        <v>14</v>
      </c>
      <c r="CI7" s="206" t="str">
        <f>IF(SUMPRODUCT($J$13:CH$13,$J7:CH7)&lt;0.5, "Pending", IF(CH7&lt;0.5, "Complete", "In Progress"))</f>
        <v>In Progress</v>
      </c>
      <c r="CJ7" s="205">
        <v>0</v>
      </c>
      <c r="CK7" s="205">
        <f t="shared" ref="CK7:CK9" si="87">MAX(CH7-CJ7,0)</f>
        <v>14</v>
      </c>
      <c r="CL7" s="206" t="str">
        <f>IF(SUMPRODUCT($J$13:CK$13,$J7:CK7)&lt;0.5, "Pending", IF(CK7&lt;0.5, "Complete", "In Progress"))</f>
        <v>In Progress</v>
      </c>
      <c r="CM7" s="205">
        <v>0</v>
      </c>
      <c r="CN7" s="205">
        <f t="shared" ref="CN7:CN9" si="88">MAX(CK7-CM7,0)</f>
        <v>14</v>
      </c>
      <c r="CO7" s="206" t="str">
        <f>IF(SUMPRODUCT($J$13:CN$13,$J7:CN7)&lt;0.5, "Pending", IF(CN7&lt;0.5, "Complete", "In Progress"))</f>
        <v>In Progress</v>
      </c>
      <c r="CP7" s="205">
        <v>0</v>
      </c>
      <c r="CQ7" s="205">
        <f t="shared" ref="CQ7:CQ9" si="89">MAX(CN7-CP7,0)</f>
        <v>14</v>
      </c>
      <c r="CR7" s="206" t="str">
        <f>IF(SUMPRODUCT($J$13:CQ$13,$J7:CQ7)&lt;0.5, "Pending", IF(CQ7&lt;0.5, "Complete", "In Progress"))</f>
        <v>In Progress</v>
      </c>
      <c r="CS7" s="205">
        <v>0</v>
      </c>
      <c r="CT7" s="205">
        <f t="shared" ref="CT7:CT9" si="90">MAX(CQ7-CS7,0)</f>
        <v>14</v>
      </c>
      <c r="CU7" s="206" t="str">
        <f>IF(SUMPRODUCT($J$13:CT$13,$J7:CT7)&lt;0.5, "Pending", IF(CT7&lt;0.5, "Complete", "In Progress"))</f>
        <v>In Progress</v>
      </c>
      <c r="CV7" s="205">
        <v>0</v>
      </c>
      <c r="CW7" s="205">
        <f t="shared" si="51"/>
        <v>14</v>
      </c>
      <c r="CX7" s="206" t="str">
        <f>IF(SUMPRODUCT($J$13:CW$13,$J7:CW7)&lt;0.5, "Pending", IF(CW7&lt;0.5, "Complete", "In Progress"))</f>
        <v>In Progress</v>
      </c>
      <c r="CY7" s="205">
        <v>0</v>
      </c>
      <c r="CZ7" s="205">
        <f t="shared" si="52"/>
        <v>14</v>
      </c>
      <c r="DA7" s="206" t="str">
        <f>IF(SUMPRODUCT($J$13:CZ$13,$J7:CZ7)&lt;0.5, "Pending", IF(CZ7&lt;0.5, "Complete", "In Progress"))</f>
        <v>In Progress</v>
      </c>
      <c r="DB7" s="205">
        <v>0</v>
      </c>
      <c r="DC7" s="205">
        <f t="shared" si="53"/>
        <v>14</v>
      </c>
      <c r="DD7" s="206" t="str">
        <f>IF(SUMPRODUCT($J$13:DC$13,$J7:DC7)&lt;0.5, "Pending", IF(DC7&lt;0.5, "Complete", "In Progress"))</f>
        <v>In Progress</v>
      </c>
      <c r="DE7" s="205">
        <v>0</v>
      </c>
      <c r="DF7" s="205">
        <f t="shared" si="54"/>
        <v>14</v>
      </c>
      <c r="DG7" s="206" t="str">
        <f>IF(SUMPRODUCT($J$13:DF$13,$J7:DF7)&lt;0.5, "Pending", IF(DF7&lt;0.5, "Complete", "In Progress"))</f>
        <v>In Progress</v>
      </c>
      <c r="DH7" s="205">
        <v>0</v>
      </c>
      <c r="DI7" s="205">
        <f t="shared" si="55"/>
        <v>14</v>
      </c>
      <c r="DJ7" s="206" t="str">
        <f>IF(SUMPRODUCT($J$13:DI$13,$J7:DI7)&lt;0.5, "Pending", IF(DI7&lt;0.5, "Complete", "In Progress"))</f>
        <v>In Progress</v>
      </c>
      <c r="DK7" s="205">
        <v>0</v>
      </c>
      <c r="DL7" s="205">
        <f t="shared" si="56"/>
        <v>14</v>
      </c>
      <c r="DM7" s="206" t="str">
        <f>IF(SUMPRODUCT($J$13:DL$13,$J7:DL7)&lt;0.5, "Pending", IF(DL7&lt;0.5, "Complete", "In Progress"))</f>
        <v>In Progress</v>
      </c>
      <c r="DN7" s="205">
        <v>0</v>
      </c>
      <c r="DO7" s="205">
        <f t="shared" si="57"/>
        <v>14</v>
      </c>
      <c r="DP7" s="206" t="str">
        <f>IF(SUMPRODUCT($J$13:DO$13,$J7:DO7)&lt;0.5, "Pending", IF(DO7&lt;0.5, "Complete", "In Progress"))</f>
        <v>In Progress</v>
      </c>
      <c r="DQ7" s="205">
        <v>0</v>
      </c>
      <c r="DR7" s="205">
        <f t="shared" si="58"/>
        <v>14</v>
      </c>
      <c r="DS7" s="206" t="str">
        <f>IF(SUMPRODUCT($J$13:DR$13,$J7:DR7)&lt;0.5, "Pending", IF(DR7&lt;0.5, "Complete", "In Progress"))</f>
        <v>In Progress</v>
      </c>
      <c r="DT7" s="205">
        <v>0</v>
      </c>
      <c r="DU7" s="205">
        <f t="shared" si="59"/>
        <v>14</v>
      </c>
      <c r="DV7" s="206" t="str">
        <f>IF(SUMPRODUCT($J$13:DU$13,$J7:DU7)&lt;0.5, "Pending", IF(DU7&lt;0.5, "Complete", "In Progress"))</f>
        <v>In Progress</v>
      </c>
      <c r="DW7" s="205">
        <v>0</v>
      </c>
      <c r="DX7" s="205">
        <f t="shared" si="60"/>
        <v>14</v>
      </c>
      <c r="DY7" s="206" t="str">
        <f>IF(SUMPRODUCT($J$13:DX$13,$J7:DX7)&lt;0.5, "Pending", IF(DX7&lt;0.5, "Complete", "In Progress"))</f>
        <v>In Progress</v>
      </c>
      <c r="DZ7" s="223"/>
      <c r="EA7" s="208">
        <f>SUMPRODUCT($H$13:DG$13,$H7:DG7)</f>
        <v>2</v>
      </c>
    </row>
    <row r="8" spans="1:131" s="224" customFormat="1" x14ac:dyDescent="0.25">
      <c r="A8" s="199"/>
      <c r="B8" s="199"/>
      <c r="C8" s="200" t="s">
        <v>149</v>
      </c>
      <c r="D8" s="201"/>
      <c r="E8" s="202"/>
      <c r="F8" s="5" t="s">
        <v>144</v>
      </c>
      <c r="G8" s="203" t="str">
        <f t="shared" ca="1" si="0"/>
        <v>In Progress</v>
      </c>
      <c r="H8" s="5">
        <v>5</v>
      </c>
      <c r="I8" s="204">
        <v>8</v>
      </c>
      <c r="J8" s="204">
        <v>0</v>
      </c>
      <c r="K8" s="205">
        <f t="shared" si="61"/>
        <v>8</v>
      </c>
      <c r="L8" s="206" t="str">
        <f>IF(SUMPRODUCT($J$13:K$13,$J8:K8)&lt;0.5, "Pending", IF(K8&lt;0.5, "Complete", "In Progress"))</f>
        <v>Pending</v>
      </c>
      <c r="M8" s="205">
        <v>1</v>
      </c>
      <c r="N8" s="205">
        <f t="shared" si="62"/>
        <v>7</v>
      </c>
      <c r="O8" s="206" t="str">
        <f>IF(SUMPRODUCT($J$13:N$13,$J8:N8)&lt;0.5, "Pending", IF(N8&lt;0.5, "Complete", "In Progress"))</f>
        <v>In Progress</v>
      </c>
      <c r="P8" s="205">
        <v>3</v>
      </c>
      <c r="Q8" s="205">
        <f t="shared" si="63"/>
        <v>4</v>
      </c>
      <c r="R8" s="206" t="str">
        <f>IF(SUMPRODUCT($J$13:Q$13,$J8:Q8)&lt;0.5, "Pending", IF(Q8&lt;0.5, "Complete", "In Progress"))</f>
        <v>In Progress</v>
      </c>
      <c r="S8" s="205">
        <v>0</v>
      </c>
      <c r="T8" s="205">
        <f t="shared" si="64"/>
        <v>4</v>
      </c>
      <c r="U8" s="206" t="str">
        <f>IF(SUMPRODUCT($J$13:T$13,$J8:T8)&lt;0.5, "Pending", IF(T8&lt;0.5, "Complete", "In Progress"))</f>
        <v>In Progress</v>
      </c>
      <c r="V8" s="205">
        <v>2</v>
      </c>
      <c r="W8" s="205">
        <f t="shared" si="65"/>
        <v>2</v>
      </c>
      <c r="X8" s="206" t="str">
        <f>IF(SUMPRODUCT($J$13:W$13,$J8:W8)&lt;0.5, "Pending", IF(W8&lt;0.5, "Complete", "In Progress"))</f>
        <v>In Progress</v>
      </c>
      <c r="Y8" s="205">
        <v>0</v>
      </c>
      <c r="Z8" s="205">
        <f t="shared" si="66"/>
        <v>2</v>
      </c>
      <c r="AA8" s="206" t="str">
        <f>IF(SUMPRODUCT($J$13:Z$13,$J8:Z8)&lt;0.5, "Pending", IF(Z8&lt;0.5, "Complete", "In Progress"))</f>
        <v>In Progress</v>
      </c>
      <c r="AB8" s="205">
        <v>0</v>
      </c>
      <c r="AC8" s="205">
        <f t="shared" si="67"/>
        <v>2</v>
      </c>
      <c r="AD8" s="206" t="str">
        <f>IF(SUMPRODUCT($J$13:AC$13,$J8:AC8)&lt;0.5, "Pending", IF(AC8&lt;0.5, "Complete", "In Progress"))</f>
        <v>In Progress</v>
      </c>
      <c r="AE8" s="205">
        <v>0</v>
      </c>
      <c r="AF8" s="205">
        <f t="shared" si="68"/>
        <v>2</v>
      </c>
      <c r="AG8" s="206" t="str">
        <f>IF(SUMPRODUCT($J$13:AF$13,$J8:AF8)&lt;0.5, "Pending", IF(AF8&lt;0.5, "Complete", "In Progress"))</f>
        <v>In Progress</v>
      </c>
      <c r="AH8" s="205">
        <v>0</v>
      </c>
      <c r="AI8" s="205">
        <f t="shared" si="69"/>
        <v>2</v>
      </c>
      <c r="AJ8" s="206" t="str">
        <f>IF(SUMPRODUCT($J$13:AI$13,$J8:AI8)&lt;0.5, "Pending", IF(AI8&lt;0.5, "Complete", "In Progress"))</f>
        <v>In Progress</v>
      </c>
      <c r="AK8" s="205">
        <v>0</v>
      </c>
      <c r="AL8" s="205">
        <f t="shared" si="70"/>
        <v>2</v>
      </c>
      <c r="AM8" s="206" t="str">
        <f>IF(SUMPRODUCT($J$13:AL$13,$J8:AL8)&lt;0.5, "Pending", IF(AL8&lt;0.5, "Complete", "In Progress"))</f>
        <v>In Progress</v>
      </c>
      <c r="AN8" s="205">
        <v>0</v>
      </c>
      <c r="AO8" s="205">
        <f t="shared" si="71"/>
        <v>2</v>
      </c>
      <c r="AP8" s="206" t="str">
        <f>IF(SUMPRODUCT($J$13:AO$13,$J8:AO8)&lt;0.5, "Pending", IF(AO8&lt;0.5, "Complete", "In Progress"))</f>
        <v>In Progress</v>
      </c>
      <c r="AQ8" s="205">
        <v>0</v>
      </c>
      <c r="AR8" s="205">
        <f t="shared" si="72"/>
        <v>2</v>
      </c>
      <c r="AS8" s="206" t="str">
        <f>IF(SUMPRODUCT($J$13:AR$13,$J8:AR8)&lt;0.5, "Pending", IF(AR8&lt;0.5, "Complete", "In Progress"))</f>
        <v>In Progress</v>
      </c>
      <c r="AT8" s="205">
        <v>0</v>
      </c>
      <c r="AU8" s="205">
        <f t="shared" si="73"/>
        <v>2</v>
      </c>
      <c r="AV8" s="206" t="str">
        <f>IF(SUMPRODUCT($J$13:AU$13,$J8:AU8)&lt;0.5, "Pending", IF(AU8&lt;0.5, "Complete", "In Progress"))</f>
        <v>In Progress</v>
      </c>
      <c r="AW8" s="205">
        <v>0</v>
      </c>
      <c r="AX8" s="205">
        <f t="shared" si="74"/>
        <v>2</v>
      </c>
      <c r="AY8" s="206" t="str">
        <f>IF(SUMPRODUCT($J$13:AX$13,$J8:AX8)&lt;0.5, "Pending", IF(AX8&lt;0.5, "Complete", "In Progress"))</f>
        <v>In Progress</v>
      </c>
      <c r="AZ8" s="205">
        <v>0</v>
      </c>
      <c r="BA8" s="205">
        <f t="shared" si="75"/>
        <v>2</v>
      </c>
      <c r="BB8" s="206" t="str">
        <f>IF(SUMPRODUCT($J$13:BA$13,$J8:BA8)&lt;0.5, "Pending", IF(BA8&lt;0.5, "Complete", "In Progress"))</f>
        <v>In Progress</v>
      </c>
      <c r="BC8" s="205">
        <v>0</v>
      </c>
      <c r="BD8" s="205">
        <f t="shared" si="76"/>
        <v>2</v>
      </c>
      <c r="BE8" s="206" t="str">
        <f>IF(SUMPRODUCT($J$13:BD$13,$J8:BD8)&lt;0.5, "Pending", IF(BD8&lt;0.5, "Complete", "In Progress"))</f>
        <v>In Progress</v>
      </c>
      <c r="BF8" s="205">
        <v>0</v>
      </c>
      <c r="BG8" s="205">
        <f t="shared" si="77"/>
        <v>2</v>
      </c>
      <c r="BH8" s="206" t="str">
        <f>IF(SUMPRODUCT($J$13:BG$13,$J8:BG8)&lt;0.5, "Pending", IF(BG8&lt;0.5, "Complete", "In Progress"))</f>
        <v>In Progress</v>
      </c>
      <c r="BI8" s="205">
        <v>0</v>
      </c>
      <c r="BJ8" s="205">
        <f t="shared" si="78"/>
        <v>2</v>
      </c>
      <c r="BK8" s="206" t="str">
        <f>IF(SUMPRODUCT($J$13:BJ$13,$J8:BJ8)&lt;0.5, "Pending", IF(BJ8&lt;0.5, "Complete", "In Progress"))</f>
        <v>In Progress</v>
      </c>
      <c r="BL8" s="205">
        <v>0</v>
      </c>
      <c r="BM8" s="205">
        <f t="shared" si="79"/>
        <v>2</v>
      </c>
      <c r="BN8" s="206" t="str">
        <f>IF(SUMPRODUCT($J$13:BM$13,$J8:BM8)&lt;0.5, "Pending", IF(BM8&lt;0.5, "Complete", "In Progress"))</f>
        <v>In Progress</v>
      </c>
      <c r="BO8" s="205">
        <v>0</v>
      </c>
      <c r="BP8" s="205">
        <f t="shared" si="80"/>
        <v>2</v>
      </c>
      <c r="BQ8" s="206" t="str">
        <f>IF(SUMPRODUCT($J$13:BP$13,$J8:BP8)&lt;0.5, "Pending", IF(BP8&lt;0.5, "Complete", "In Progress"))</f>
        <v>In Progress</v>
      </c>
      <c r="BR8" s="205">
        <v>0</v>
      </c>
      <c r="BS8" s="205">
        <f t="shared" si="81"/>
        <v>2</v>
      </c>
      <c r="BT8" s="206" t="str">
        <f>IF(SUMPRODUCT($J$13:BS$13,$J8:BS8)&lt;0.5, "Pending", IF(BS8&lt;0.5, "Complete", "In Progress"))</f>
        <v>In Progress</v>
      </c>
      <c r="BU8" s="205">
        <v>0</v>
      </c>
      <c r="BV8" s="205">
        <f t="shared" si="82"/>
        <v>2</v>
      </c>
      <c r="BW8" s="206" t="str">
        <f>IF(SUMPRODUCT($J$13:BV$13,$J8:BV8)&lt;0.5, "Pending", IF(BV8&lt;0.5, "Complete", "In Progress"))</f>
        <v>In Progress</v>
      </c>
      <c r="BX8" s="205">
        <v>0</v>
      </c>
      <c r="BY8" s="205">
        <f t="shared" si="83"/>
        <v>2</v>
      </c>
      <c r="BZ8" s="206" t="str">
        <f>IF(SUMPRODUCT($J$13:BY$13,$J8:BY8)&lt;0.5, "Pending", IF(BY8&lt;0.5, "Complete", "In Progress"))</f>
        <v>In Progress</v>
      </c>
      <c r="CA8" s="205">
        <v>0</v>
      </c>
      <c r="CB8" s="205">
        <f t="shared" si="84"/>
        <v>2</v>
      </c>
      <c r="CC8" s="206" t="str">
        <f>IF(SUMPRODUCT($J$13:CB$13,$J8:CB8)&lt;0.5, "Pending", IF(CB8&lt;0.5, "Complete", "In Progress"))</f>
        <v>In Progress</v>
      </c>
      <c r="CD8" s="205">
        <v>0</v>
      </c>
      <c r="CE8" s="205">
        <f t="shared" si="85"/>
        <v>2</v>
      </c>
      <c r="CF8" s="206" t="str">
        <f>IF(SUMPRODUCT($J$13:CE$13,$J8:CE8)&lt;0.5, "Pending", IF(CE8&lt;0.5, "Complete", "In Progress"))</f>
        <v>In Progress</v>
      </c>
      <c r="CG8" s="205">
        <v>0</v>
      </c>
      <c r="CH8" s="205">
        <f t="shared" si="86"/>
        <v>2</v>
      </c>
      <c r="CI8" s="206" t="str">
        <f>IF(SUMPRODUCT($J$13:CH$13,$J8:CH8)&lt;0.5, "Pending", IF(CH8&lt;0.5, "Complete", "In Progress"))</f>
        <v>In Progress</v>
      </c>
      <c r="CJ8" s="205">
        <v>0</v>
      </c>
      <c r="CK8" s="205">
        <f t="shared" si="87"/>
        <v>2</v>
      </c>
      <c r="CL8" s="206" t="str">
        <f>IF(SUMPRODUCT($J$13:CK$13,$J8:CK8)&lt;0.5, "Pending", IF(CK8&lt;0.5, "Complete", "In Progress"))</f>
        <v>In Progress</v>
      </c>
      <c r="CM8" s="205">
        <v>0</v>
      </c>
      <c r="CN8" s="205">
        <f t="shared" si="88"/>
        <v>2</v>
      </c>
      <c r="CO8" s="206" t="str">
        <f>IF(SUMPRODUCT($J$13:CN$13,$J8:CN8)&lt;0.5, "Pending", IF(CN8&lt;0.5, "Complete", "In Progress"))</f>
        <v>In Progress</v>
      </c>
      <c r="CP8" s="205">
        <v>0</v>
      </c>
      <c r="CQ8" s="205">
        <f t="shared" si="89"/>
        <v>2</v>
      </c>
      <c r="CR8" s="206" t="str">
        <f>IF(SUMPRODUCT($J$13:CQ$13,$J8:CQ8)&lt;0.5, "Pending", IF(CQ8&lt;0.5, "Complete", "In Progress"))</f>
        <v>In Progress</v>
      </c>
      <c r="CS8" s="205">
        <v>0</v>
      </c>
      <c r="CT8" s="205">
        <f t="shared" si="90"/>
        <v>2</v>
      </c>
      <c r="CU8" s="206" t="str">
        <f>IF(SUMPRODUCT($J$13:CT$13,$J8:CT8)&lt;0.5, "Pending", IF(CT8&lt;0.5, "Complete", "In Progress"))</f>
        <v>In Progress</v>
      </c>
      <c r="CV8" s="205">
        <v>0</v>
      </c>
      <c r="CW8" s="205">
        <f t="shared" si="51"/>
        <v>2</v>
      </c>
      <c r="CX8" s="206" t="str">
        <f>IF(SUMPRODUCT($J$13:CW$13,$J8:CW8)&lt;0.5, "Pending", IF(CW8&lt;0.5, "Complete", "In Progress"))</f>
        <v>In Progress</v>
      </c>
      <c r="CY8" s="205">
        <v>0</v>
      </c>
      <c r="CZ8" s="205">
        <f t="shared" si="52"/>
        <v>2</v>
      </c>
      <c r="DA8" s="206" t="str">
        <f>IF(SUMPRODUCT($J$13:CZ$13,$J8:CZ8)&lt;0.5, "Pending", IF(CZ8&lt;0.5, "Complete", "In Progress"))</f>
        <v>In Progress</v>
      </c>
      <c r="DB8" s="205">
        <v>0</v>
      </c>
      <c r="DC8" s="205">
        <f t="shared" si="53"/>
        <v>2</v>
      </c>
      <c r="DD8" s="206" t="str">
        <f>IF(SUMPRODUCT($J$13:DC$13,$J8:DC8)&lt;0.5, "Pending", IF(DC8&lt;0.5, "Complete", "In Progress"))</f>
        <v>In Progress</v>
      </c>
      <c r="DE8" s="205">
        <v>0</v>
      </c>
      <c r="DF8" s="205">
        <f t="shared" si="54"/>
        <v>2</v>
      </c>
      <c r="DG8" s="206" t="str">
        <f>IF(SUMPRODUCT($J$13:DF$13,$J8:DF8)&lt;0.5, "Pending", IF(DF8&lt;0.5, "Complete", "In Progress"))</f>
        <v>In Progress</v>
      </c>
      <c r="DH8" s="205">
        <v>0</v>
      </c>
      <c r="DI8" s="205">
        <f t="shared" si="55"/>
        <v>2</v>
      </c>
      <c r="DJ8" s="206" t="str">
        <f>IF(SUMPRODUCT($J$13:DI$13,$J8:DI8)&lt;0.5, "Pending", IF(DI8&lt;0.5, "Complete", "In Progress"))</f>
        <v>In Progress</v>
      </c>
      <c r="DK8" s="205">
        <v>0</v>
      </c>
      <c r="DL8" s="205">
        <f t="shared" si="56"/>
        <v>2</v>
      </c>
      <c r="DM8" s="206" t="str">
        <f>IF(SUMPRODUCT($J$13:DL$13,$J8:DL8)&lt;0.5, "Pending", IF(DL8&lt;0.5, "Complete", "In Progress"))</f>
        <v>In Progress</v>
      </c>
      <c r="DN8" s="205">
        <v>0</v>
      </c>
      <c r="DO8" s="205">
        <f t="shared" si="57"/>
        <v>2</v>
      </c>
      <c r="DP8" s="206" t="str">
        <f>IF(SUMPRODUCT($J$13:DO$13,$J8:DO8)&lt;0.5, "Pending", IF(DO8&lt;0.5, "Complete", "In Progress"))</f>
        <v>In Progress</v>
      </c>
      <c r="DQ8" s="205">
        <v>0</v>
      </c>
      <c r="DR8" s="205">
        <f t="shared" si="58"/>
        <v>2</v>
      </c>
      <c r="DS8" s="206" t="str">
        <f>IF(SUMPRODUCT($J$13:DR$13,$J8:DR8)&lt;0.5, "Pending", IF(DR8&lt;0.5, "Complete", "In Progress"))</f>
        <v>In Progress</v>
      </c>
      <c r="DT8" s="205">
        <v>0</v>
      </c>
      <c r="DU8" s="205">
        <f t="shared" si="59"/>
        <v>2</v>
      </c>
      <c r="DV8" s="206" t="str">
        <f>IF(SUMPRODUCT($J$13:DU$13,$J8:DU8)&lt;0.5, "Pending", IF(DU8&lt;0.5, "Complete", "In Progress"))</f>
        <v>In Progress</v>
      </c>
      <c r="DW8" s="205">
        <v>0</v>
      </c>
      <c r="DX8" s="205">
        <f t="shared" si="60"/>
        <v>2</v>
      </c>
      <c r="DY8" s="206" t="str">
        <f>IF(SUMPRODUCT($J$13:DX$13,$J8:DX8)&lt;0.5, "Pending", IF(DX8&lt;0.5, "Complete", "In Progress"))</f>
        <v>In Progress</v>
      </c>
      <c r="DZ8" s="223"/>
      <c r="EA8" s="208">
        <f>SUMPRODUCT($H$13:DG$13,$H8:DG8)</f>
        <v>6</v>
      </c>
    </row>
    <row r="9" spans="1:131" s="224" customFormat="1" x14ac:dyDescent="0.25">
      <c r="A9" s="199"/>
      <c r="B9" s="199"/>
      <c r="C9" s="200" t="s">
        <v>152</v>
      </c>
      <c r="D9" s="201"/>
      <c r="E9" s="202"/>
      <c r="F9" s="5" t="s">
        <v>144</v>
      </c>
      <c r="G9" s="203" t="str">
        <f t="shared" ca="1" si="0"/>
        <v>Complete</v>
      </c>
      <c r="H9" s="5">
        <v>5</v>
      </c>
      <c r="I9" s="204">
        <v>1</v>
      </c>
      <c r="J9" s="204">
        <v>0</v>
      </c>
      <c r="K9" s="205">
        <f t="shared" si="61"/>
        <v>1</v>
      </c>
      <c r="L9" s="206" t="str">
        <f>IF(SUMPRODUCT($J$13:K$13,$J9:K9)&lt;0.5, "Pending", IF(K9&lt;0.5, "Complete", "In Progress"))</f>
        <v>Pending</v>
      </c>
      <c r="M9" s="205">
        <v>0</v>
      </c>
      <c r="N9" s="205">
        <f t="shared" si="62"/>
        <v>1</v>
      </c>
      <c r="O9" s="206" t="str">
        <f>IF(SUMPRODUCT($J$13:N$13,$J9:N9)&lt;0.5, "Pending", IF(N9&lt;0.5, "Complete", "In Progress"))</f>
        <v>Pending</v>
      </c>
      <c r="P9" s="205">
        <v>0</v>
      </c>
      <c r="Q9" s="205">
        <f t="shared" si="63"/>
        <v>1</v>
      </c>
      <c r="R9" s="206" t="str">
        <f>IF(SUMPRODUCT($J$13:Q$13,$J9:Q9)&lt;0.5, "Pending", IF(Q9&lt;0.5, "Complete", "In Progress"))</f>
        <v>Pending</v>
      </c>
      <c r="S9" s="205">
        <v>0</v>
      </c>
      <c r="T9" s="205">
        <f t="shared" si="64"/>
        <v>1</v>
      </c>
      <c r="U9" s="206" t="str">
        <f>IF(SUMPRODUCT($J$13:T$13,$J9:T9)&lt;0.5, "Pending", IF(T9&lt;0.5, "Complete", "In Progress"))</f>
        <v>Pending</v>
      </c>
      <c r="V9" s="205">
        <v>1</v>
      </c>
      <c r="W9" s="205">
        <f t="shared" si="65"/>
        <v>0</v>
      </c>
      <c r="X9" s="206" t="str">
        <f>IF(SUMPRODUCT($J$13:W$13,$J9:W9)&lt;0.5, "Pending", IF(W9&lt;0.5, "Complete", "In Progress"))</f>
        <v>Complete</v>
      </c>
      <c r="Y9" s="205">
        <v>0</v>
      </c>
      <c r="Z9" s="205">
        <f t="shared" si="66"/>
        <v>0</v>
      </c>
      <c r="AA9" s="206" t="str">
        <f>IF(SUMPRODUCT($J$13:Z$13,$J9:Z9)&lt;0.5, "Pending", IF(Z9&lt;0.5, "Complete", "In Progress"))</f>
        <v>Complete</v>
      </c>
      <c r="AB9" s="205">
        <v>0</v>
      </c>
      <c r="AC9" s="205">
        <f t="shared" si="67"/>
        <v>0</v>
      </c>
      <c r="AD9" s="206" t="str">
        <f>IF(SUMPRODUCT($J$13:AC$13,$J9:AC9)&lt;0.5, "Pending", IF(AC9&lt;0.5, "Complete", "In Progress"))</f>
        <v>Complete</v>
      </c>
      <c r="AE9" s="205">
        <v>0</v>
      </c>
      <c r="AF9" s="205">
        <f t="shared" si="68"/>
        <v>0</v>
      </c>
      <c r="AG9" s="206" t="str">
        <f>IF(SUMPRODUCT($J$13:AF$13,$J9:AF9)&lt;0.5, "Pending", IF(AF9&lt;0.5, "Complete", "In Progress"))</f>
        <v>Complete</v>
      </c>
      <c r="AH9" s="205">
        <v>0</v>
      </c>
      <c r="AI9" s="205">
        <f t="shared" si="69"/>
        <v>0</v>
      </c>
      <c r="AJ9" s="206" t="str">
        <f>IF(SUMPRODUCT($J$13:AI$13,$J9:AI9)&lt;0.5, "Pending", IF(AI9&lt;0.5, "Complete", "In Progress"))</f>
        <v>Complete</v>
      </c>
      <c r="AK9" s="205">
        <v>0</v>
      </c>
      <c r="AL9" s="205">
        <f t="shared" si="70"/>
        <v>0</v>
      </c>
      <c r="AM9" s="206" t="str">
        <f>IF(SUMPRODUCT($J$13:AL$13,$J9:AL9)&lt;0.5, "Pending", IF(AL9&lt;0.5, "Complete", "In Progress"))</f>
        <v>Complete</v>
      </c>
      <c r="AN9" s="205">
        <v>0</v>
      </c>
      <c r="AO9" s="205">
        <f t="shared" si="71"/>
        <v>0</v>
      </c>
      <c r="AP9" s="206" t="str">
        <f>IF(SUMPRODUCT($J$13:AO$13,$J9:AO9)&lt;0.5, "Pending", IF(AO9&lt;0.5, "Complete", "In Progress"))</f>
        <v>Complete</v>
      </c>
      <c r="AQ9" s="205">
        <v>0</v>
      </c>
      <c r="AR9" s="205">
        <f t="shared" si="72"/>
        <v>0</v>
      </c>
      <c r="AS9" s="206" t="str">
        <f>IF(SUMPRODUCT($J$13:AR$13,$J9:AR9)&lt;0.5, "Pending", IF(AR9&lt;0.5, "Complete", "In Progress"))</f>
        <v>Complete</v>
      </c>
      <c r="AT9" s="205">
        <v>0</v>
      </c>
      <c r="AU9" s="205">
        <f t="shared" si="73"/>
        <v>0</v>
      </c>
      <c r="AV9" s="206" t="str">
        <f>IF(SUMPRODUCT($J$13:AU$13,$J9:AU9)&lt;0.5, "Pending", IF(AU9&lt;0.5, "Complete", "In Progress"))</f>
        <v>Complete</v>
      </c>
      <c r="AW9" s="205">
        <v>0</v>
      </c>
      <c r="AX9" s="205">
        <f t="shared" si="74"/>
        <v>0</v>
      </c>
      <c r="AY9" s="206" t="str">
        <f>IF(SUMPRODUCT($J$13:AX$13,$J9:AX9)&lt;0.5, "Pending", IF(AX9&lt;0.5, "Complete", "In Progress"))</f>
        <v>Complete</v>
      </c>
      <c r="AZ9" s="205">
        <v>0</v>
      </c>
      <c r="BA9" s="205">
        <f t="shared" si="75"/>
        <v>0</v>
      </c>
      <c r="BB9" s="206" t="str">
        <f>IF(SUMPRODUCT($J$13:BA$13,$J9:BA9)&lt;0.5, "Pending", IF(BA9&lt;0.5, "Complete", "In Progress"))</f>
        <v>Complete</v>
      </c>
      <c r="BC9" s="205">
        <v>0</v>
      </c>
      <c r="BD9" s="205">
        <f t="shared" si="76"/>
        <v>0</v>
      </c>
      <c r="BE9" s="206" t="str">
        <f>IF(SUMPRODUCT($J$13:BD$13,$J9:BD9)&lt;0.5, "Pending", IF(BD9&lt;0.5, "Complete", "In Progress"))</f>
        <v>Complete</v>
      </c>
      <c r="BF9" s="205">
        <v>0</v>
      </c>
      <c r="BG9" s="205">
        <f t="shared" si="77"/>
        <v>0</v>
      </c>
      <c r="BH9" s="206" t="str">
        <f>IF(SUMPRODUCT($J$13:BG$13,$J9:BG9)&lt;0.5, "Pending", IF(BG9&lt;0.5, "Complete", "In Progress"))</f>
        <v>Complete</v>
      </c>
      <c r="BI9" s="205">
        <v>0</v>
      </c>
      <c r="BJ9" s="205">
        <f t="shared" si="78"/>
        <v>0</v>
      </c>
      <c r="BK9" s="206" t="str">
        <f>IF(SUMPRODUCT($J$13:BJ$13,$J9:BJ9)&lt;0.5, "Pending", IF(BJ9&lt;0.5, "Complete", "In Progress"))</f>
        <v>Complete</v>
      </c>
      <c r="BL9" s="205">
        <v>0</v>
      </c>
      <c r="BM9" s="205">
        <f t="shared" si="79"/>
        <v>0</v>
      </c>
      <c r="BN9" s="206" t="str">
        <f>IF(SUMPRODUCT($J$13:BM$13,$J9:BM9)&lt;0.5, "Pending", IF(BM9&lt;0.5, "Complete", "In Progress"))</f>
        <v>Complete</v>
      </c>
      <c r="BO9" s="205">
        <v>0</v>
      </c>
      <c r="BP9" s="205">
        <f t="shared" si="80"/>
        <v>0</v>
      </c>
      <c r="BQ9" s="206" t="str">
        <f>IF(SUMPRODUCT($J$13:BP$13,$J9:BP9)&lt;0.5, "Pending", IF(BP9&lt;0.5, "Complete", "In Progress"))</f>
        <v>Complete</v>
      </c>
      <c r="BR9" s="205">
        <v>0</v>
      </c>
      <c r="BS9" s="205">
        <f t="shared" si="81"/>
        <v>0</v>
      </c>
      <c r="BT9" s="206" t="str">
        <f>IF(SUMPRODUCT($J$13:BS$13,$J9:BS9)&lt;0.5, "Pending", IF(BS9&lt;0.5, "Complete", "In Progress"))</f>
        <v>Complete</v>
      </c>
      <c r="BU9" s="205">
        <v>0</v>
      </c>
      <c r="BV9" s="205">
        <f t="shared" si="82"/>
        <v>0</v>
      </c>
      <c r="BW9" s="206" t="str">
        <f>IF(SUMPRODUCT($J$13:BV$13,$J9:BV9)&lt;0.5, "Pending", IF(BV9&lt;0.5, "Complete", "In Progress"))</f>
        <v>Complete</v>
      </c>
      <c r="BX9" s="205">
        <v>0</v>
      </c>
      <c r="BY9" s="205">
        <f t="shared" si="83"/>
        <v>0</v>
      </c>
      <c r="BZ9" s="206" t="str">
        <f>IF(SUMPRODUCT($J$13:BY$13,$J9:BY9)&lt;0.5, "Pending", IF(BY9&lt;0.5, "Complete", "In Progress"))</f>
        <v>Complete</v>
      </c>
      <c r="CA9" s="205">
        <v>0</v>
      </c>
      <c r="CB9" s="205">
        <f t="shared" si="84"/>
        <v>0</v>
      </c>
      <c r="CC9" s="206" t="str">
        <f>IF(SUMPRODUCT($J$13:CB$13,$J9:CB9)&lt;0.5, "Pending", IF(CB9&lt;0.5, "Complete", "In Progress"))</f>
        <v>Complete</v>
      </c>
      <c r="CD9" s="205">
        <v>0</v>
      </c>
      <c r="CE9" s="205">
        <f t="shared" si="85"/>
        <v>0</v>
      </c>
      <c r="CF9" s="206" t="str">
        <f>IF(SUMPRODUCT($J$13:CE$13,$J9:CE9)&lt;0.5, "Pending", IF(CE9&lt;0.5, "Complete", "In Progress"))</f>
        <v>Complete</v>
      </c>
      <c r="CG9" s="205">
        <v>0</v>
      </c>
      <c r="CH9" s="205">
        <f t="shared" si="86"/>
        <v>0</v>
      </c>
      <c r="CI9" s="206" t="str">
        <f>IF(SUMPRODUCT($J$13:CH$13,$J9:CH9)&lt;0.5, "Pending", IF(CH9&lt;0.5, "Complete", "In Progress"))</f>
        <v>Complete</v>
      </c>
      <c r="CJ9" s="205">
        <v>0</v>
      </c>
      <c r="CK9" s="205">
        <f t="shared" si="87"/>
        <v>0</v>
      </c>
      <c r="CL9" s="206" t="str">
        <f>IF(SUMPRODUCT($J$13:CK$13,$J9:CK9)&lt;0.5, "Pending", IF(CK9&lt;0.5, "Complete", "In Progress"))</f>
        <v>Complete</v>
      </c>
      <c r="CM9" s="205">
        <v>0</v>
      </c>
      <c r="CN9" s="205">
        <f t="shared" si="88"/>
        <v>0</v>
      </c>
      <c r="CO9" s="206" t="str">
        <f>IF(SUMPRODUCT($J$13:CN$13,$J9:CN9)&lt;0.5, "Pending", IF(CN9&lt;0.5, "Complete", "In Progress"))</f>
        <v>Complete</v>
      </c>
      <c r="CP9" s="205">
        <v>0</v>
      </c>
      <c r="CQ9" s="205">
        <f t="shared" si="89"/>
        <v>0</v>
      </c>
      <c r="CR9" s="206" t="str">
        <f>IF(SUMPRODUCT($J$13:CQ$13,$J9:CQ9)&lt;0.5, "Pending", IF(CQ9&lt;0.5, "Complete", "In Progress"))</f>
        <v>Complete</v>
      </c>
      <c r="CS9" s="205">
        <v>0</v>
      </c>
      <c r="CT9" s="205">
        <f t="shared" si="90"/>
        <v>0</v>
      </c>
      <c r="CU9" s="206" t="str">
        <f>IF(SUMPRODUCT($J$13:CT$13,$J9:CT9)&lt;0.5, "Pending", IF(CT9&lt;0.5, "Complete", "In Progress"))</f>
        <v>Complete</v>
      </c>
      <c r="CV9" s="205">
        <v>0</v>
      </c>
      <c r="CW9" s="205">
        <f t="shared" si="51"/>
        <v>0</v>
      </c>
      <c r="CX9" s="206" t="str">
        <f>IF(SUMPRODUCT($J$13:CW$13,$J9:CW9)&lt;0.5, "Pending", IF(CW9&lt;0.5, "Complete", "In Progress"))</f>
        <v>Complete</v>
      </c>
      <c r="CY9" s="205">
        <v>0</v>
      </c>
      <c r="CZ9" s="205">
        <f t="shared" si="52"/>
        <v>0</v>
      </c>
      <c r="DA9" s="206" t="str">
        <f>IF(SUMPRODUCT($J$13:CZ$13,$J9:CZ9)&lt;0.5, "Pending", IF(CZ9&lt;0.5, "Complete", "In Progress"))</f>
        <v>Complete</v>
      </c>
      <c r="DB9" s="205">
        <v>0</v>
      </c>
      <c r="DC9" s="205">
        <f t="shared" si="53"/>
        <v>0</v>
      </c>
      <c r="DD9" s="206" t="str">
        <f>IF(SUMPRODUCT($J$13:DC$13,$J9:DC9)&lt;0.5, "Pending", IF(DC9&lt;0.5, "Complete", "In Progress"))</f>
        <v>Complete</v>
      </c>
      <c r="DE9" s="205">
        <v>0</v>
      </c>
      <c r="DF9" s="205">
        <f t="shared" si="54"/>
        <v>0</v>
      </c>
      <c r="DG9" s="206" t="str">
        <f>IF(SUMPRODUCT($J$13:DF$13,$J9:DF9)&lt;0.5, "Pending", IF(DF9&lt;0.5, "Complete", "In Progress"))</f>
        <v>Complete</v>
      </c>
      <c r="DH9" s="205">
        <v>0</v>
      </c>
      <c r="DI9" s="205">
        <f t="shared" si="55"/>
        <v>0</v>
      </c>
      <c r="DJ9" s="206" t="str">
        <f>IF(SUMPRODUCT($J$13:DI$13,$J9:DI9)&lt;0.5, "Pending", IF(DI9&lt;0.5, "Complete", "In Progress"))</f>
        <v>Complete</v>
      </c>
      <c r="DK9" s="205">
        <v>0</v>
      </c>
      <c r="DL9" s="205">
        <f t="shared" si="56"/>
        <v>0</v>
      </c>
      <c r="DM9" s="206" t="str">
        <f>IF(SUMPRODUCT($J$13:DL$13,$J9:DL9)&lt;0.5, "Pending", IF(DL9&lt;0.5, "Complete", "In Progress"))</f>
        <v>Complete</v>
      </c>
      <c r="DN9" s="205">
        <v>0</v>
      </c>
      <c r="DO9" s="205">
        <f t="shared" si="57"/>
        <v>0</v>
      </c>
      <c r="DP9" s="206" t="str">
        <f>IF(SUMPRODUCT($J$13:DO$13,$J9:DO9)&lt;0.5, "Pending", IF(DO9&lt;0.5, "Complete", "In Progress"))</f>
        <v>Complete</v>
      </c>
      <c r="DQ9" s="205">
        <v>0</v>
      </c>
      <c r="DR9" s="205">
        <f t="shared" si="58"/>
        <v>0</v>
      </c>
      <c r="DS9" s="206" t="str">
        <f>IF(SUMPRODUCT($J$13:DR$13,$J9:DR9)&lt;0.5, "Pending", IF(DR9&lt;0.5, "Complete", "In Progress"))</f>
        <v>Complete</v>
      </c>
      <c r="DT9" s="205">
        <v>0</v>
      </c>
      <c r="DU9" s="205">
        <f t="shared" si="59"/>
        <v>0</v>
      </c>
      <c r="DV9" s="206" t="str">
        <f>IF(SUMPRODUCT($J$13:DU$13,$J9:DU9)&lt;0.5, "Pending", IF(DU9&lt;0.5, "Complete", "In Progress"))</f>
        <v>Complete</v>
      </c>
      <c r="DW9" s="205">
        <v>0</v>
      </c>
      <c r="DX9" s="205">
        <f t="shared" si="60"/>
        <v>0</v>
      </c>
      <c r="DY9" s="206" t="str">
        <f>IF(SUMPRODUCT($J$13:DX$13,$J9:DX9)&lt;0.5, "Pending", IF(DX9&lt;0.5, "Complete", "In Progress"))</f>
        <v>Complete</v>
      </c>
      <c r="DZ9" s="223"/>
      <c r="EA9" s="208">
        <f>SUMPRODUCT($H$13:DG$13,$H9:DG9)</f>
        <v>1</v>
      </c>
    </row>
    <row r="10" spans="1:131" x14ac:dyDescent="0.25">
      <c r="A10" s="199"/>
      <c r="B10" s="199"/>
      <c r="C10" s="200" t="s">
        <v>153</v>
      </c>
      <c r="D10" s="201"/>
      <c r="E10" s="202"/>
      <c r="F10" s="5" t="s">
        <v>144</v>
      </c>
      <c r="G10" s="203" t="str">
        <f t="shared" ca="1" si="0"/>
        <v>Complete</v>
      </c>
      <c r="H10" s="5">
        <v>5</v>
      </c>
      <c r="I10" s="204">
        <v>1</v>
      </c>
      <c r="J10" s="204">
        <v>0</v>
      </c>
      <c r="K10" s="205">
        <f t="shared" si="1"/>
        <v>1</v>
      </c>
      <c r="L10" s="206" t="str">
        <f>IF(SUMPRODUCT($J$13:K$13,$J10:K10)&lt;0.5, "Pending", IF(K10&lt;0.5, "Complete", "In Progress"))</f>
        <v>Pending</v>
      </c>
      <c r="M10" s="205">
        <v>0</v>
      </c>
      <c r="N10" s="205">
        <f t="shared" si="2"/>
        <v>1</v>
      </c>
      <c r="O10" s="206" t="str">
        <f>IF(SUMPRODUCT($J$13:N$13,$J10:N10)&lt;0.5, "Pending", IF(N10&lt;0.5, "Complete", "In Progress"))</f>
        <v>Pending</v>
      </c>
      <c r="P10" s="205">
        <v>0</v>
      </c>
      <c r="Q10" s="205">
        <f t="shared" si="3"/>
        <v>1</v>
      </c>
      <c r="R10" s="206" t="str">
        <f>IF(SUMPRODUCT($J$13:Q$13,$J10:Q10)&lt;0.5, "Pending", IF(Q10&lt;0.5, "Complete", "In Progress"))</f>
        <v>Pending</v>
      </c>
      <c r="S10" s="205">
        <v>0</v>
      </c>
      <c r="T10" s="205">
        <f t="shared" si="4"/>
        <v>1</v>
      </c>
      <c r="U10" s="206" t="str">
        <f>IF(SUMPRODUCT($J$13:T$13,$J10:T10)&lt;0.5, "Pending", IF(T10&lt;0.5, "Complete", "In Progress"))</f>
        <v>Pending</v>
      </c>
      <c r="V10" s="205">
        <v>0</v>
      </c>
      <c r="W10" s="205">
        <f t="shared" si="5"/>
        <v>1</v>
      </c>
      <c r="X10" s="206" t="str">
        <f>IF(SUMPRODUCT($J$13:W$13,$J10:W10)&lt;0.5, "Pending", IF(W10&lt;0.5, "Complete", "In Progress"))</f>
        <v>Pending</v>
      </c>
      <c r="Y10" s="205">
        <v>1</v>
      </c>
      <c r="Z10" s="205">
        <f t="shared" si="6"/>
        <v>0</v>
      </c>
      <c r="AA10" s="206" t="str">
        <f>IF(SUMPRODUCT($J$13:Z$13,$J10:Z10)&lt;0.5, "Pending", IF(Z10&lt;0.5, "Complete", "In Progress"))</f>
        <v>Complete</v>
      </c>
      <c r="AB10" s="205">
        <v>0</v>
      </c>
      <c r="AC10" s="205">
        <f t="shared" si="7"/>
        <v>0</v>
      </c>
      <c r="AD10" s="206" t="str">
        <f>IF(SUMPRODUCT($J$13:AC$13,$J10:AC10)&lt;0.5, "Pending", IF(AC10&lt;0.5, "Complete", "In Progress"))</f>
        <v>Complete</v>
      </c>
      <c r="AE10" s="205">
        <v>0</v>
      </c>
      <c r="AF10" s="205">
        <f t="shared" si="8"/>
        <v>0</v>
      </c>
      <c r="AG10" s="206" t="str">
        <f>IF(SUMPRODUCT($J$13:AF$13,$J10:AF10)&lt;0.5, "Pending", IF(AF10&lt;0.5, "Complete", "In Progress"))</f>
        <v>Complete</v>
      </c>
      <c r="AH10" s="205">
        <v>0</v>
      </c>
      <c r="AI10" s="205">
        <f t="shared" si="9"/>
        <v>0</v>
      </c>
      <c r="AJ10" s="206" t="str">
        <f>IF(SUMPRODUCT($J$13:AI$13,$J10:AI10)&lt;0.5, "Pending", IF(AI10&lt;0.5, "Complete", "In Progress"))</f>
        <v>Complete</v>
      </c>
      <c r="AK10" s="205">
        <v>0</v>
      </c>
      <c r="AL10" s="205">
        <f t="shared" si="10"/>
        <v>0</v>
      </c>
      <c r="AM10" s="206" t="str">
        <f>IF(SUMPRODUCT($J$13:AL$13,$J10:AL10)&lt;0.5, "Pending", IF(AL10&lt;0.5, "Complete", "In Progress"))</f>
        <v>Complete</v>
      </c>
      <c r="AN10" s="205">
        <v>0</v>
      </c>
      <c r="AO10" s="205">
        <f t="shared" si="11"/>
        <v>0</v>
      </c>
      <c r="AP10" s="206" t="str">
        <f>IF(SUMPRODUCT($J$13:AO$13,$J10:AO10)&lt;0.5, "Pending", IF(AO10&lt;0.5, "Complete", "In Progress"))</f>
        <v>Complete</v>
      </c>
      <c r="AQ10" s="205">
        <v>0</v>
      </c>
      <c r="AR10" s="205">
        <f t="shared" si="12"/>
        <v>0</v>
      </c>
      <c r="AS10" s="206" t="str">
        <f>IF(SUMPRODUCT($J$13:AR$13,$J10:AR10)&lt;0.5, "Pending", IF(AR10&lt;0.5, "Complete", "In Progress"))</f>
        <v>Complete</v>
      </c>
      <c r="AT10" s="205">
        <v>0</v>
      </c>
      <c r="AU10" s="205">
        <f t="shared" si="13"/>
        <v>0</v>
      </c>
      <c r="AV10" s="206" t="str">
        <f>IF(SUMPRODUCT($J$13:AU$13,$J10:AU10)&lt;0.5, "Pending", IF(AU10&lt;0.5, "Complete", "In Progress"))</f>
        <v>Complete</v>
      </c>
      <c r="AW10" s="205">
        <v>0</v>
      </c>
      <c r="AX10" s="205">
        <f t="shared" si="14"/>
        <v>0</v>
      </c>
      <c r="AY10" s="206" t="str">
        <f>IF(SUMPRODUCT($J$13:AX$13,$J10:AX10)&lt;0.5, "Pending", IF(AX10&lt;0.5, "Complete", "In Progress"))</f>
        <v>Complete</v>
      </c>
      <c r="AZ10" s="205">
        <v>0</v>
      </c>
      <c r="BA10" s="205">
        <f t="shared" si="15"/>
        <v>0</v>
      </c>
      <c r="BB10" s="206" t="str">
        <f>IF(SUMPRODUCT($J$13:BA$13,$J10:BA10)&lt;0.5, "Pending", IF(BA10&lt;0.5, "Complete", "In Progress"))</f>
        <v>Complete</v>
      </c>
      <c r="BC10" s="205">
        <v>0</v>
      </c>
      <c r="BD10" s="205">
        <f t="shared" si="16"/>
        <v>0</v>
      </c>
      <c r="BE10" s="206" t="str">
        <f>IF(SUMPRODUCT($J$13:BD$13,$J10:BD10)&lt;0.5, "Pending", IF(BD10&lt;0.5, "Complete", "In Progress"))</f>
        <v>Complete</v>
      </c>
      <c r="BF10" s="205">
        <v>0</v>
      </c>
      <c r="BG10" s="205">
        <f t="shared" si="17"/>
        <v>0</v>
      </c>
      <c r="BH10" s="206" t="str">
        <f>IF(SUMPRODUCT($J$13:BG$13,$J10:BG10)&lt;0.5, "Pending", IF(BG10&lt;0.5, "Complete", "In Progress"))</f>
        <v>Complete</v>
      </c>
      <c r="BI10" s="205">
        <v>0</v>
      </c>
      <c r="BJ10" s="205">
        <f t="shared" si="40"/>
        <v>0</v>
      </c>
      <c r="BK10" s="206" t="str">
        <f>IF(SUMPRODUCT($J$13:BJ$13,$J10:BJ10)&lt;0.5, "Pending", IF(BJ10&lt;0.5, "Complete", "In Progress"))</f>
        <v>Complete</v>
      </c>
      <c r="BL10" s="205">
        <v>0</v>
      </c>
      <c r="BM10" s="205">
        <f t="shared" si="18"/>
        <v>0</v>
      </c>
      <c r="BN10" s="206" t="str">
        <f>IF(SUMPRODUCT($J$13:BM$13,$J10:BM10)&lt;0.5, "Pending", IF(BM10&lt;0.5, "Complete", "In Progress"))</f>
        <v>Complete</v>
      </c>
      <c r="BO10" s="205">
        <v>0</v>
      </c>
      <c r="BP10" s="205">
        <f t="shared" si="19"/>
        <v>0</v>
      </c>
      <c r="BQ10" s="206" t="str">
        <f>IF(SUMPRODUCT($J$13:BP$13,$J10:BP10)&lt;0.5, "Pending", IF(BP10&lt;0.5, "Complete", "In Progress"))</f>
        <v>Complete</v>
      </c>
      <c r="BR10" s="205">
        <v>0</v>
      </c>
      <c r="BS10" s="205">
        <f t="shared" si="20"/>
        <v>0</v>
      </c>
      <c r="BT10" s="206" t="str">
        <f>IF(SUMPRODUCT($J$13:BS$13,$J10:BS10)&lt;0.5, "Pending", IF(BS10&lt;0.5, "Complete", "In Progress"))</f>
        <v>Complete</v>
      </c>
      <c r="BU10" s="205">
        <v>0</v>
      </c>
      <c r="BV10" s="205">
        <f t="shared" si="21"/>
        <v>0</v>
      </c>
      <c r="BW10" s="206" t="str">
        <f>IF(SUMPRODUCT($J$13:BV$13,$J10:BV10)&lt;0.5, "Pending", IF(BV10&lt;0.5, "Complete", "In Progress"))</f>
        <v>Complete</v>
      </c>
      <c r="BX10" s="205">
        <v>0</v>
      </c>
      <c r="BY10" s="205">
        <f t="shared" si="22"/>
        <v>0</v>
      </c>
      <c r="BZ10" s="206" t="str">
        <f>IF(SUMPRODUCT($J$13:BY$13,$J10:BY10)&lt;0.5, "Pending", IF(BY10&lt;0.5, "Complete", "In Progress"))</f>
        <v>Complete</v>
      </c>
      <c r="CA10" s="205">
        <v>0</v>
      </c>
      <c r="CB10" s="205">
        <f t="shared" si="23"/>
        <v>0</v>
      </c>
      <c r="CC10" s="206" t="str">
        <f>IF(SUMPRODUCT($J$13:CB$13,$J10:CB10)&lt;0.5, "Pending", IF(CB10&lt;0.5, "Complete", "In Progress"))</f>
        <v>Complete</v>
      </c>
      <c r="CD10" s="205">
        <v>0</v>
      </c>
      <c r="CE10" s="205">
        <f t="shared" si="24"/>
        <v>0</v>
      </c>
      <c r="CF10" s="206" t="str">
        <f>IF(SUMPRODUCT($J$13:CE$13,$J10:CE10)&lt;0.5, "Pending", IF(CE10&lt;0.5, "Complete", "In Progress"))</f>
        <v>Complete</v>
      </c>
      <c r="CG10" s="205">
        <v>0</v>
      </c>
      <c r="CH10" s="205">
        <f t="shared" si="25"/>
        <v>0</v>
      </c>
      <c r="CI10" s="206" t="str">
        <f>IF(SUMPRODUCT($J$13:CH$13,$J10:CH10)&lt;0.5, "Pending", IF(CH10&lt;0.5, "Complete", "In Progress"))</f>
        <v>Complete</v>
      </c>
      <c r="CJ10" s="205">
        <v>0</v>
      </c>
      <c r="CK10" s="205">
        <f t="shared" si="26"/>
        <v>0</v>
      </c>
      <c r="CL10" s="206" t="str">
        <f>IF(SUMPRODUCT($J$13:CK$13,$J10:CK10)&lt;0.5, "Pending", IF(CK10&lt;0.5, "Complete", "In Progress"))</f>
        <v>Complete</v>
      </c>
      <c r="CM10" s="205">
        <v>0</v>
      </c>
      <c r="CN10" s="205">
        <f t="shared" si="27"/>
        <v>0</v>
      </c>
      <c r="CO10" s="206" t="str">
        <f>IF(SUMPRODUCT($J$13:CN$13,$J10:CN10)&lt;0.5, "Pending", IF(CN10&lt;0.5, "Complete", "In Progress"))</f>
        <v>Complete</v>
      </c>
      <c r="CP10" s="205">
        <v>0</v>
      </c>
      <c r="CQ10" s="205">
        <f t="shared" si="28"/>
        <v>0</v>
      </c>
      <c r="CR10" s="206" t="str">
        <f>IF(SUMPRODUCT($J$13:CQ$13,$J10:CQ10)&lt;0.5, "Pending", IF(CQ10&lt;0.5, "Complete", "In Progress"))</f>
        <v>Complete</v>
      </c>
      <c r="CS10" s="205">
        <v>0</v>
      </c>
      <c r="CT10" s="205">
        <f t="shared" si="29"/>
        <v>0</v>
      </c>
      <c r="CU10" s="206" t="str">
        <f>IF(SUMPRODUCT($J$13:CT$13,$J10:CT10)&lt;0.5, "Pending", IF(CT10&lt;0.5, "Complete", "In Progress"))</f>
        <v>Complete</v>
      </c>
      <c r="CV10" s="205">
        <v>0</v>
      </c>
      <c r="CW10" s="205">
        <f t="shared" ref="CW10" si="91">MAX(CT10-CV10,0)</f>
        <v>0</v>
      </c>
      <c r="CX10" s="206" t="str">
        <f>IF(SUMPRODUCT($J$13:CW$13,$J10:CW10)&lt;0.5, "Pending", IF(CW10&lt;0.5, "Complete", "In Progress"))</f>
        <v>Complete</v>
      </c>
      <c r="CY10" s="205">
        <v>0</v>
      </c>
      <c r="CZ10" s="205">
        <f t="shared" ref="CZ10" si="92">MAX(CW10-CY10,0)</f>
        <v>0</v>
      </c>
      <c r="DA10" s="206" t="str">
        <f>IF(SUMPRODUCT($J$13:CZ$13,$J10:CZ10)&lt;0.5, "Pending", IF(CZ10&lt;0.5, "Complete", "In Progress"))</f>
        <v>Complete</v>
      </c>
      <c r="DB10" s="205">
        <v>0</v>
      </c>
      <c r="DC10" s="205">
        <f t="shared" ref="DC10" si="93">MAX(CZ10-DB10,0)</f>
        <v>0</v>
      </c>
      <c r="DD10" s="206" t="str">
        <f>IF(SUMPRODUCT($J$13:DC$13,$J10:DC10)&lt;0.5, "Pending", IF(DC10&lt;0.5, "Complete", "In Progress"))</f>
        <v>Complete</v>
      </c>
      <c r="DE10" s="205">
        <v>0</v>
      </c>
      <c r="DF10" s="205">
        <f t="shared" ref="DF10" si="94">MAX(DC10-DE10,0)</f>
        <v>0</v>
      </c>
      <c r="DG10" s="206" t="str">
        <f>IF(SUMPRODUCT($J$13:DF$13,$J10:DF10)&lt;0.5, "Pending", IF(DF10&lt;0.5, "Complete", "In Progress"))</f>
        <v>Complete</v>
      </c>
      <c r="DH10" s="205">
        <v>0</v>
      </c>
      <c r="DI10" s="205">
        <f t="shared" ref="DI10" si="95">MAX(DF10-DH10,0)</f>
        <v>0</v>
      </c>
      <c r="DJ10" s="206" t="str">
        <f>IF(SUMPRODUCT($J$13:DI$13,$J10:DI10)&lt;0.5, "Pending", IF(DI10&lt;0.5, "Complete", "In Progress"))</f>
        <v>Complete</v>
      </c>
      <c r="DK10" s="205">
        <v>0</v>
      </c>
      <c r="DL10" s="205">
        <f t="shared" ref="DL10" si="96">MAX(DI10-DK10,0)</f>
        <v>0</v>
      </c>
      <c r="DM10" s="206" t="str">
        <f>IF(SUMPRODUCT($J$13:DL$13,$J10:DL10)&lt;0.5, "Pending", IF(DL10&lt;0.5, "Complete", "In Progress"))</f>
        <v>Complete</v>
      </c>
      <c r="DN10" s="205">
        <v>0</v>
      </c>
      <c r="DO10" s="205">
        <f t="shared" ref="DO10" si="97">MAX(DL10-DN10,0)</f>
        <v>0</v>
      </c>
      <c r="DP10" s="206" t="str">
        <f>IF(SUMPRODUCT($J$13:DO$13,$J10:DO10)&lt;0.5, "Pending", IF(DO10&lt;0.5, "Complete", "In Progress"))</f>
        <v>Complete</v>
      </c>
      <c r="DQ10" s="205">
        <v>0</v>
      </c>
      <c r="DR10" s="205">
        <f t="shared" ref="DR10" si="98">MAX(DO10-DQ10,0)</f>
        <v>0</v>
      </c>
      <c r="DS10" s="206" t="str">
        <f>IF(SUMPRODUCT($J$13:DR$13,$J10:DR10)&lt;0.5, "Pending", IF(DR10&lt;0.5, "Complete", "In Progress"))</f>
        <v>Complete</v>
      </c>
      <c r="DT10" s="205">
        <v>0</v>
      </c>
      <c r="DU10" s="205">
        <f t="shared" ref="DU10" si="99">MAX(DR10-DT10,0)</f>
        <v>0</v>
      </c>
      <c r="DV10" s="206" t="str">
        <f>IF(SUMPRODUCT($J$13:DU$13,$J10:DU10)&lt;0.5, "Pending", IF(DU10&lt;0.5, "Complete", "In Progress"))</f>
        <v>Complete</v>
      </c>
      <c r="DW10" s="205">
        <v>0</v>
      </c>
      <c r="DX10" s="205">
        <f t="shared" ref="DX10" si="100">MAX(DU10-DW10,0)</f>
        <v>0</v>
      </c>
      <c r="DY10" s="206" t="str">
        <f>IF(SUMPRODUCT($J$13:DX$13,$J10:DX10)&lt;0.5, "Pending", IF(DX10&lt;0.5, "Complete", "In Progress"))</f>
        <v>Complete</v>
      </c>
      <c r="DZ10" s="207"/>
      <c r="EA10" s="208">
        <f>SUMPRODUCT($H$13:DG$13,$H10:DG10)</f>
        <v>1</v>
      </c>
    </row>
    <row r="11" spans="1:131" hidden="1" x14ac:dyDescent="0.25">
      <c r="A11" s="199"/>
      <c r="B11" s="199"/>
      <c r="C11" s="188"/>
      <c r="D11" s="188"/>
      <c r="E11" s="188"/>
      <c r="F11" s="188"/>
      <c r="G11" s="188"/>
      <c r="H11" s="188"/>
      <c r="I11" s="188"/>
      <c r="J11" s="207"/>
      <c r="K11" s="207"/>
      <c r="L11" s="207"/>
      <c r="M11" s="209"/>
      <c r="N11" s="209"/>
      <c r="O11" s="207"/>
      <c r="P11" s="209"/>
      <c r="Q11" s="209"/>
      <c r="R11" s="207"/>
      <c r="S11" s="209"/>
      <c r="T11" s="209"/>
      <c r="U11" s="209"/>
      <c r="V11" s="209"/>
      <c r="W11" s="209"/>
      <c r="X11" s="207"/>
      <c r="Y11" s="209"/>
      <c r="Z11" s="209"/>
      <c r="AA11" s="207"/>
      <c r="AB11" s="209"/>
      <c r="AC11" s="209"/>
      <c r="AD11" s="207"/>
      <c r="AE11" s="209"/>
      <c r="AF11" s="209"/>
      <c r="AG11" s="207"/>
      <c r="AH11" s="209"/>
      <c r="AI11" s="209"/>
      <c r="AJ11" s="207"/>
      <c r="AK11" s="209"/>
      <c r="AL11" s="209"/>
      <c r="AM11" s="207"/>
      <c r="AN11" s="209"/>
      <c r="AO11" s="209"/>
      <c r="AP11" s="207"/>
      <c r="AQ11" s="209"/>
      <c r="AR11" s="209"/>
      <c r="AS11" s="207"/>
      <c r="AT11" s="209"/>
      <c r="AU11" s="209"/>
      <c r="AV11" s="207"/>
      <c r="AW11" s="209"/>
      <c r="AX11" s="209"/>
      <c r="AY11" s="207"/>
      <c r="AZ11" s="209"/>
      <c r="BA11" s="209"/>
      <c r="BB11" s="207"/>
      <c r="BC11" s="209"/>
      <c r="BD11" s="209"/>
      <c r="BE11" s="207"/>
      <c r="BF11" s="209"/>
      <c r="BG11" s="209"/>
      <c r="BH11" s="207"/>
      <c r="BI11" s="209"/>
      <c r="BJ11" s="209"/>
      <c r="BK11" s="207"/>
      <c r="BL11" s="209"/>
      <c r="BM11" s="209"/>
      <c r="BN11" s="207"/>
      <c r="BO11" s="209"/>
      <c r="BP11" s="209"/>
      <c r="BQ11" s="207"/>
      <c r="BR11" s="209"/>
      <c r="BS11" s="209"/>
      <c r="BT11" s="207"/>
      <c r="BU11" s="209"/>
      <c r="BV11" s="209"/>
      <c r="BW11" s="207"/>
      <c r="BX11" s="209"/>
      <c r="BY11" s="209"/>
      <c r="BZ11" s="207"/>
      <c r="CA11" s="209"/>
      <c r="CB11" s="209"/>
      <c r="CC11" s="207"/>
      <c r="CD11" s="209"/>
      <c r="CE11" s="209"/>
      <c r="CF11" s="207"/>
      <c r="CG11" s="209"/>
      <c r="CH11" s="209"/>
      <c r="CI11" s="207"/>
      <c r="CJ11" s="209"/>
      <c r="CK11" s="209"/>
      <c r="CL11" s="207"/>
      <c r="CM11" s="209"/>
      <c r="CN11" s="209"/>
      <c r="CO11" s="207"/>
      <c r="CP11" s="209"/>
      <c r="CQ11" s="209"/>
      <c r="CR11" s="207"/>
      <c r="CS11" s="209"/>
      <c r="CT11" s="209"/>
      <c r="CU11" s="207"/>
      <c r="CV11" s="209"/>
      <c r="CW11" s="209"/>
      <c r="CX11" s="207"/>
      <c r="CY11" s="209"/>
      <c r="CZ11" s="209"/>
      <c r="DA11" s="207"/>
      <c r="DB11" s="209"/>
      <c r="DC11" s="209"/>
      <c r="DD11" s="207"/>
      <c r="DE11" s="209"/>
      <c r="DF11" s="209"/>
      <c r="DG11" s="207"/>
      <c r="DH11" s="209"/>
      <c r="DI11" s="209"/>
      <c r="DJ11" s="207"/>
      <c r="DK11" s="209"/>
      <c r="DL11" s="209"/>
      <c r="DM11" s="207"/>
      <c r="DN11" s="209"/>
      <c r="DO11" s="209"/>
      <c r="DP11" s="207"/>
      <c r="DQ11" s="209"/>
      <c r="DR11" s="209"/>
      <c r="DS11" s="207"/>
      <c r="DT11" s="209"/>
      <c r="DU11" s="209"/>
      <c r="DV11" s="207"/>
      <c r="DW11" s="209"/>
      <c r="DX11" s="209"/>
      <c r="DY11" s="207"/>
      <c r="DZ11" s="207"/>
      <c r="EA11" s="210">
        <f>SUMPRODUCT($H$14:DG$14,$H11:DG11)</f>
        <v>0</v>
      </c>
    </row>
    <row r="12" spans="1:131" x14ac:dyDescent="0.25">
      <c r="A12" s="154"/>
      <c r="B12" s="154"/>
      <c r="C12" s="188"/>
      <c r="D12" s="154"/>
      <c r="E12" s="154"/>
      <c r="F12" s="154"/>
      <c r="G12" s="153"/>
      <c r="H12" s="154"/>
      <c r="I12" s="154"/>
      <c r="J12" s="228" t="s">
        <v>10</v>
      </c>
      <c r="K12" s="229"/>
      <c r="L12" s="7">
        <v>1</v>
      </c>
      <c r="M12" s="226" t="s">
        <v>10</v>
      </c>
      <c r="N12" s="227"/>
      <c r="O12" s="7">
        <f>L12+1</f>
        <v>2</v>
      </c>
      <c r="P12" s="226" t="s">
        <v>10</v>
      </c>
      <c r="Q12" s="227"/>
      <c r="R12" s="7">
        <f>O12+1</f>
        <v>3</v>
      </c>
      <c r="S12" s="226" t="s">
        <v>10</v>
      </c>
      <c r="T12" s="227"/>
      <c r="U12" s="7">
        <f>R12+1</f>
        <v>4</v>
      </c>
      <c r="V12" s="226" t="s">
        <v>10</v>
      </c>
      <c r="W12" s="227"/>
      <c r="X12" s="7">
        <f>U12+1</f>
        <v>5</v>
      </c>
      <c r="Y12" s="226" t="s">
        <v>10</v>
      </c>
      <c r="Z12" s="226"/>
      <c r="AA12" s="7">
        <f>X12+1</f>
        <v>6</v>
      </c>
      <c r="AB12" s="226" t="s">
        <v>10</v>
      </c>
      <c r="AC12" s="226"/>
      <c r="AD12" s="7">
        <f>AA12+1</f>
        <v>7</v>
      </c>
      <c r="AE12" s="226" t="s">
        <v>10</v>
      </c>
      <c r="AF12" s="226"/>
      <c r="AG12" s="7">
        <f>AD12+1</f>
        <v>8</v>
      </c>
      <c r="AH12" s="226" t="s">
        <v>10</v>
      </c>
      <c r="AI12" s="226"/>
      <c r="AJ12" s="7">
        <f>AG12+1</f>
        <v>9</v>
      </c>
      <c r="AK12" s="226" t="s">
        <v>10</v>
      </c>
      <c r="AL12" s="226"/>
      <c r="AM12" s="7">
        <f>AJ12+1</f>
        <v>10</v>
      </c>
      <c r="AN12" s="226" t="s">
        <v>10</v>
      </c>
      <c r="AO12" s="226"/>
      <c r="AP12" s="7">
        <f>AM12+1</f>
        <v>11</v>
      </c>
      <c r="AQ12" s="226" t="s">
        <v>10</v>
      </c>
      <c r="AR12" s="226"/>
      <c r="AS12" s="7">
        <f>AP12+1</f>
        <v>12</v>
      </c>
      <c r="AT12" s="226" t="s">
        <v>10</v>
      </c>
      <c r="AU12" s="226"/>
      <c r="AV12" s="7">
        <f>AS12+1</f>
        <v>13</v>
      </c>
      <c r="AW12" s="226" t="s">
        <v>10</v>
      </c>
      <c r="AX12" s="226"/>
      <c r="AY12" s="7">
        <f>AV12+1</f>
        <v>14</v>
      </c>
      <c r="AZ12" s="226" t="s">
        <v>10</v>
      </c>
      <c r="BA12" s="226"/>
      <c r="BB12" s="7">
        <f>AY12+1</f>
        <v>15</v>
      </c>
      <c r="BC12" s="226" t="s">
        <v>10</v>
      </c>
      <c r="BD12" s="226"/>
      <c r="BE12" s="7">
        <f>BB12+1</f>
        <v>16</v>
      </c>
      <c r="BF12" s="226" t="s">
        <v>10</v>
      </c>
      <c r="BG12" s="226"/>
      <c r="BH12" s="7">
        <f>BE12+1</f>
        <v>17</v>
      </c>
      <c r="BI12" s="226" t="s">
        <v>10</v>
      </c>
      <c r="BJ12" s="226"/>
      <c r="BK12" s="7">
        <f>BH12+1</f>
        <v>18</v>
      </c>
      <c r="BL12" s="226" t="s">
        <v>10</v>
      </c>
      <c r="BM12" s="226"/>
      <c r="BN12" s="7">
        <f>BK12+1</f>
        <v>19</v>
      </c>
      <c r="BO12" s="226" t="s">
        <v>10</v>
      </c>
      <c r="BP12" s="226"/>
      <c r="BQ12" s="7">
        <f>BN12+1</f>
        <v>20</v>
      </c>
      <c r="BR12" s="226" t="s">
        <v>10</v>
      </c>
      <c r="BS12" s="226"/>
      <c r="BT12" s="7">
        <f>BQ12+1</f>
        <v>21</v>
      </c>
      <c r="BU12" s="226" t="s">
        <v>10</v>
      </c>
      <c r="BV12" s="226"/>
      <c r="BW12" s="7">
        <f>BT12+1</f>
        <v>22</v>
      </c>
      <c r="BX12" s="226" t="s">
        <v>10</v>
      </c>
      <c r="BY12" s="226"/>
      <c r="BZ12" s="7">
        <f>BW12+1</f>
        <v>23</v>
      </c>
      <c r="CA12" s="226" t="s">
        <v>10</v>
      </c>
      <c r="CB12" s="226"/>
      <c r="CC12" s="7">
        <f>BZ12+1</f>
        <v>24</v>
      </c>
      <c r="CD12" s="226" t="s">
        <v>10</v>
      </c>
      <c r="CE12" s="226"/>
      <c r="CF12" s="7">
        <f>CC12+1</f>
        <v>25</v>
      </c>
      <c r="CG12" s="226" t="s">
        <v>10</v>
      </c>
      <c r="CH12" s="226"/>
      <c r="CI12" s="7">
        <f>CF12+1</f>
        <v>26</v>
      </c>
      <c r="CJ12" s="226" t="s">
        <v>10</v>
      </c>
      <c r="CK12" s="226"/>
      <c r="CL12" s="7">
        <f>CI12+1</f>
        <v>27</v>
      </c>
      <c r="CM12" s="226" t="s">
        <v>10</v>
      </c>
      <c r="CN12" s="226"/>
      <c r="CO12" s="7">
        <f>CL12+1</f>
        <v>28</v>
      </c>
      <c r="CP12" s="226" t="s">
        <v>10</v>
      </c>
      <c r="CQ12" s="226"/>
      <c r="CR12" s="7">
        <f>CO12+1</f>
        <v>29</v>
      </c>
      <c r="CS12" s="226" t="s">
        <v>10</v>
      </c>
      <c r="CT12" s="226"/>
      <c r="CU12" s="7">
        <f>CR12+1</f>
        <v>30</v>
      </c>
      <c r="CV12" s="226" t="s">
        <v>10</v>
      </c>
      <c r="CW12" s="227"/>
      <c r="CX12" s="7">
        <f>CU12+1</f>
        <v>31</v>
      </c>
      <c r="CY12" s="226" t="s">
        <v>10</v>
      </c>
      <c r="CZ12" s="227"/>
      <c r="DA12" s="7">
        <f>CX12+1</f>
        <v>32</v>
      </c>
      <c r="DB12" s="226" t="s">
        <v>10</v>
      </c>
      <c r="DC12" s="227"/>
      <c r="DD12" s="7">
        <f>DA12+1</f>
        <v>33</v>
      </c>
      <c r="DE12" s="226" t="s">
        <v>10</v>
      </c>
      <c r="DF12" s="227"/>
      <c r="DG12" s="7">
        <f>DD12+1</f>
        <v>34</v>
      </c>
      <c r="DH12" s="226" t="s">
        <v>10</v>
      </c>
      <c r="DI12" s="227"/>
      <c r="DJ12" s="7">
        <f>DG12+1</f>
        <v>35</v>
      </c>
      <c r="DK12" s="226" t="s">
        <v>10</v>
      </c>
      <c r="DL12" s="227"/>
      <c r="DM12" s="7">
        <f>DJ12+1</f>
        <v>36</v>
      </c>
      <c r="DN12" s="226" t="s">
        <v>10</v>
      </c>
      <c r="DO12" s="227"/>
      <c r="DP12" s="7">
        <f>DM12+1</f>
        <v>37</v>
      </c>
      <c r="DQ12" s="226" t="s">
        <v>10</v>
      </c>
      <c r="DR12" s="227"/>
      <c r="DS12" s="7">
        <f>DP12+1</f>
        <v>38</v>
      </c>
      <c r="DT12" s="226" t="s">
        <v>10</v>
      </c>
      <c r="DU12" s="227"/>
      <c r="DV12" s="7">
        <f>DS12+1</f>
        <v>39</v>
      </c>
      <c r="DW12" s="226" t="s">
        <v>10</v>
      </c>
      <c r="DX12" s="227"/>
      <c r="DY12" s="7">
        <f>DV12+1</f>
        <v>40</v>
      </c>
      <c r="DZ12" s="7"/>
      <c r="EA12" s="211"/>
    </row>
    <row r="13" spans="1:131" hidden="1" x14ac:dyDescent="0.25">
      <c r="A13" s="155"/>
      <c r="B13" s="155"/>
      <c r="C13" s="188"/>
      <c r="D13" s="155"/>
      <c r="E13" s="155" t="s">
        <v>12</v>
      </c>
      <c r="F13" s="155"/>
      <c r="G13" s="155"/>
      <c r="H13" s="155"/>
      <c r="I13" s="155"/>
      <c r="J13" s="212">
        <v>1</v>
      </c>
      <c r="K13" s="212">
        <v>0</v>
      </c>
      <c r="L13" s="155">
        <v>0</v>
      </c>
      <c r="M13" s="155">
        <v>1</v>
      </c>
      <c r="N13" s="155">
        <v>0</v>
      </c>
      <c r="O13" s="155">
        <v>0</v>
      </c>
      <c r="P13" s="155">
        <v>1</v>
      </c>
      <c r="Q13" s="155">
        <v>0</v>
      </c>
      <c r="R13" s="155">
        <v>0</v>
      </c>
      <c r="S13" s="155">
        <v>1</v>
      </c>
      <c r="T13" s="155">
        <v>0</v>
      </c>
      <c r="U13" s="155">
        <v>0</v>
      </c>
      <c r="V13" s="155">
        <v>1</v>
      </c>
      <c r="W13" s="155">
        <v>0</v>
      </c>
      <c r="X13" s="155">
        <v>0</v>
      </c>
      <c r="Y13" s="155">
        <v>1</v>
      </c>
      <c r="Z13" s="155">
        <v>0</v>
      </c>
      <c r="AA13" s="155">
        <v>0</v>
      </c>
      <c r="AB13" s="155">
        <v>1</v>
      </c>
      <c r="AC13" s="155">
        <v>0</v>
      </c>
      <c r="AD13" s="155">
        <v>0</v>
      </c>
      <c r="AE13" s="155">
        <v>1</v>
      </c>
      <c r="AF13" s="155">
        <v>0</v>
      </c>
      <c r="AG13" s="155">
        <v>0</v>
      </c>
      <c r="AH13" s="155">
        <v>1</v>
      </c>
      <c r="AI13" s="155">
        <v>0</v>
      </c>
      <c r="AJ13" s="155">
        <v>0</v>
      </c>
      <c r="AK13" s="155">
        <v>1</v>
      </c>
      <c r="AL13" s="155">
        <v>0</v>
      </c>
      <c r="AM13" s="155">
        <v>0</v>
      </c>
      <c r="AN13" s="155">
        <v>1</v>
      </c>
      <c r="AO13" s="155">
        <v>0</v>
      </c>
      <c r="AP13" s="155">
        <v>0</v>
      </c>
      <c r="AQ13" s="155">
        <v>1</v>
      </c>
      <c r="AR13" s="155">
        <v>0</v>
      </c>
      <c r="AS13" s="155">
        <v>0</v>
      </c>
      <c r="AT13" s="155">
        <v>1</v>
      </c>
      <c r="AU13" s="155">
        <v>0</v>
      </c>
      <c r="AV13" s="155">
        <v>0</v>
      </c>
      <c r="AW13" s="155">
        <v>1</v>
      </c>
      <c r="AX13" s="155">
        <v>0</v>
      </c>
      <c r="AY13" s="155">
        <v>0</v>
      </c>
      <c r="AZ13" s="155">
        <v>1</v>
      </c>
      <c r="BA13" s="155">
        <v>0</v>
      </c>
      <c r="BB13" s="155">
        <v>0</v>
      </c>
      <c r="BC13" s="155">
        <v>1</v>
      </c>
      <c r="BD13" s="155">
        <v>0</v>
      </c>
      <c r="BE13" s="155">
        <v>0</v>
      </c>
      <c r="BF13" s="155">
        <v>1</v>
      </c>
      <c r="BG13" s="155">
        <v>0</v>
      </c>
      <c r="BH13" s="155">
        <v>0</v>
      </c>
      <c r="BI13" s="155">
        <v>1</v>
      </c>
      <c r="BJ13" s="155">
        <v>0</v>
      </c>
      <c r="BK13" s="155">
        <v>0</v>
      </c>
      <c r="BL13" s="155">
        <v>1</v>
      </c>
      <c r="BM13" s="155">
        <v>0</v>
      </c>
      <c r="BN13" s="155">
        <v>0</v>
      </c>
      <c r="BO13" s="155">
        <v>1</v>
      </c>
      <c r="BP13" s="155">
        <v>0</v>
      </c>
      <c r="BQ13" s="155">
        <v>0</v>
      </c>
      <c r="BR13" s="155">
        <v>1</v>
      </c>
      <c r="BS13" s="155">
        <v>0</v>
      </c>
      <c r="BT13" s="155">
        <v>0</v>
      </c>
      <c r="BU13" s="155">
        <v>1</v>
      </c>
      <c r="BV13" s="155">
        <v>0</v>
      </c>
      <c r="BW13" s="155">
        <v>0</v>
      </c>
      <c r="BX13" s="155">
        <v>1</v>
      </c>
      <c r="BY13" s="155">
        <v>0</v>
      </c>
      <c r="BZ13" s="155">
        <v>0</v>
      </c>
      <c r="CA13" s="155">
        <v>1</v>
      </c>
      <c r="CB13" s="155">
        <v>0</v>
      </c>
      <c r="CC13" s="155">
        <v>0</v>
      </c>
      <c r="CD13" s="155">
        <v>1</v>
      </c>
      <c r="CE13" s="155">
        <v>0</v>
      </c>
      <c r="CF13" s="155">
        <v>0</v>
      </c>
      <c r="CG13" s="155">
        <v>1</v>
      </c>
      <c r="CH13" s="155">
        <v>0</v>
      </c>
      <c r="CI13" s="155">
        <v>0</v>
      </c>
      <c r="CJ13" s="155">
        <v>1</v>
      </c>
      <c r="CK13" s="155">
        <v>0</v>
      </c>
      <c r="CL13" s="155">
        <v>0</v>
      </c>
      <c r="CM13" s="155">
        <v>1</v>
      </c>
      <c r="CN13" s="155">
        <v>0</v>
      </c>
      <c r="CO13" s="155">
        <v>0</v>
      </c>
      <c r="CP13" s="155">
        <v>1</v>
      </c>
      <c r="CQ13" s="155">
        <v>0</v>
      </c>
      <c r="CR13" s="155">
        <v>0</v>
      </c>
      <c r="CS13" s="155">
        <v>1</v>
      </c>
      <c r="CT13" s="155">
        <v>0</v>
      </c>
      <c r="CU13" s="155">
        <v>0</v>
      </c>
      <c r="CV13" s="155">
        <v>1</v>
      </c>
      <c r="CW13" s="155">
        <v>0</v>
      </c>
      <c r="CX13" s="155">
        <v>0</v>
      </c>
      <c r="CY13" s="155">
        <v>1</v>
      </c>
      <c r="CZ13" s="155">
        <v>0</v>
      </c>
      <c r="DA13" s="155">
        <v>0</v>
      </c>
      <c r="DB13" s="155">
        <v>1</v>
      </c>
      <c r="DC13" s="155">
        <v>0</v>
      </c>
      <c r="DD13" s="155">
        <v>0</v>
      </c>
      <c r="DE13" s="155">
        <v>1</v>
      </c>
      <c r="DF13" s="155">
        <v>0</v>
      </c>
      <c r="DG13" s="155">
        <v>0</v>
      </c>
      <c r="DH13" s="155">
        <v>1</v>
      </c>
      <c r="DI13" s="155">
        <v>0</v>
      </c>
      <c r="DJ13" s="155">
        <v>0</v>
      </c>
      <c r="DK13" s="155">
        <v>1</v>
      </c>
      <c r="DL13" s="155">
        <v>0</v>
      </c>
      <c r="DM13" s="155">
        <v>0</v>
      </c>
      <c r="DN13" s="155">
        <v>1</v>
      </c>
      <c r="DO13" s="155">
        <v>0</v>
      </c>
      <c r="DP13" s="155">
        <v>0</v>
      </c>
      <c r="DQ13" s="155">
        <v>1</v>
      </c>
      <c r="DR13" s="155">
        <v>0</v>
      </c>
      <c r="DS13" s="155">
        <v>0</v>
      </c>
      <c r="DT13" s="155">
        <v>1</v>
      </c>
      <c r="DU13" s="155">
        <v>0</v>
      </c>
      <c r="DV13" s="155">
        <v>0</v>
      </c>
      <c r="DW13" s="155">
        <v>1</v>
      </c>
      <c r="DX13" s="155">
        <v>0</v>
      </c>
      <c r="DY13" s="155">
        <v>0</v>
      </c>
      <c r="DZ13" s="155"/>
      <c r="EA13" s="213"/>
    </row>
    <row r="14" spans="1:131" hidden="1" x14ac:dyDescent="0.25">
      <c r="A14" s="156"/>
      <c r="B14" s="156"/>
      <c r="C14" s="214"/>
      <c r="D14" s="156"/>
      <c r="E14" s="155" t="s">
        <v>14</v>
      </c>
      <c r="F14" s="155"/>
      <c r="G14" s="155"/>
      <c r="H14" s="155"/>
      <c r="I14" s="155"/>
      <c r="J14" s="207">
        <v>0</v>
      </c>
      <c r="K14" s="212">
        <v>1</v>
      </c>
      <c r="L14" s="155">
        <v>0</v>
      </c>
      <c r="M14" s="215">
        <v>0</v>
      </c>
      <c r="N14" s="155">
        <v>1</v>
      </c>
      <c r="O14" s="155">
        <v>0</v>
      </c>
      <c r="P14" s="215">
        <v>0</v>
      </c>
      <c r="Q14" s="155">
        <v>1</v>
      </c>
      <c r="R14" s="155">
        <v>0</v>
      </c>
      <c r="S14" s="215">
        <v>0</v>
      </c>
      <c r="T14" s="155">
        <v>1</v>
      </c>
      <c r="U14" s="155">
        <v>0</v>
      </c>
      <c r="V14" s="215">
        <v>0</v>
      </c>
      <c r="W14" s="155">
        <v>1</v>
      </c>
      <c r="X14" s="155">
        <v>0</v>
      </c>
      <c r="Y14" s="215">
        <v>0</v>
      </c>
      <c r="Z14" s="155">
        <v>1</v>
      </c>
      <c r="AA14" s="155">
        <v>0</v>
      </c>
      <c r="AB14" s="215">
        <v>0</v>
      </c>
      <c r="AC14" s="155">
        <v>1</v>
      </c>
      <c r="AD14" s="155">
        <v>0</v>
      </c>
      <c r="AE14" s="215">
        <v>0</v>
      </c>
      <c r="AF14" s="155">
        <v>1</v>
      </c>
      <c r="AG14" s="155">
        <v>0</v>
      </c>
      <c r="AH14" s="215">
        <v>0</v>
      </c>
      <c r="AI14" s="155">
        <v>1</v>
      </c>
      <c r="AJ14" s="155">
        <v>0</v>
      </c>
      <c r="AK14" s="215">
        <v>0</v>
      </c>
      <c r="AL14" s="155">
        <v>1</v>
      </c>
      <c r="AM14" s="155">
        <v>0</v>
      </c>
      <c r="AN14" s="215">
        <v>0</v>
      </c>
      <c r="AO14" s="155">
        <v>1</v>
      </c>
      <c r="AP14" s="155">
        <v>0</v>
      </c>
      <c r="AQ14" s="215">
        <v>0</v>
      </c>
      <c r="AR14" s="155">
        <v>1</v>
      </c>
      <c r="AS14" s="155">
        <v>0</v>
      </c>
      <c r="AT14" s="215">
        <v>0</v>
      </c>
      <c r="AU14" s="155">
        <v>1</v>
      </c>
      <c r="AV14" s="155">
        <v>0</v>
      </c>
      <c r="AW14" s="215">
        <v>0</v>
      </c>
      <c r="AX14" s="155">
        <v>1</v>
      </c>
      <c r="AY14" s="155">
        <v>0</v>
      </c>
      <c r="AZ14" s="215">
        <v>0</v>
      </c>
      <c r="BA14" s="155">
        <v>1</v>
      </c>
      <c r="BB14" s="155">
        <v>0</v>
      </c>
      <c r="BC14" s="215">
        <v>0</v>
      </c>
      <c r="BD14" s="155">
        <v>1</v>
      </c>
      <c r="BE14" s="155">
        <v>0</v>
      </c>
      <c r="BF14" s="215">
        <v>0</v>
      </c>
      <c r="BG14" s="155">
        <v>1</v>
      </c>
      <c r="BH14" s="155">
        <v>0</v>
      </c>
      <c r="BI14" s="215">
        <v>0</v>
      </c>
      <c r="BJ14" s="155">
        <v>1</v>
      </c>
      <c r="BK14" s="155">
        <v>0</v>
      </c>
      <c r="BL14" s="215">
        <v>0</v>
      </c>
      <c r="BM14" s="155">
        <v>1</v>
      </c>
      <c r="BN14" s="155">
        <v>0</v>
      </c>
      <c r="BO14" s="215">
        <v>0</v>
      </c>
      <c r="BP14" s="155">
        <v>1</v>
      </c>
      <c r="BQ14" s="155">
        <v>0</v>
      </c>
      <c r="BR14" s="215">
        <v>0</v>
      </c>
      <c r="BS14" s="155">
        <v>1</v>
      </c>
      <c r="BT14" s="155">
        <v>0</v>
      </c>
      <c r="BU14" s="215">
        <v>0</v>
      </c>
      <c r="BV14" s="155">
        <v>1</v>
      </c>
      <c r="BW14" s="155">
        <v>0</v>
      </c>
      <c r="BX14" s="215">
        <v>0</v>
      </c>
      <c r="BY14" s="155">
        <v>1</v>
      </c>
      <c r="BZ14" s="155">
        <v>0</v>
      </c>
      <c r="CA14" s="215">
        <v>0</v>
      </c>
      <c r="CB14" s="155">
        <v>1</v>
      </c>
      <c r="CC14" s="155">
        <v>0</v>
      </c>
      <c r="CD14" s="215">
        <v>0</v>
      </c>
      <c r="CE14" s="155">
        <v>1</v>
      </c>
      <c r="CF14" s="155">
        <v>0</v>
      </c>
      <c r="CG14" s="215">
        <v>0</v>
      </c>
      <c r="CH14" s="155">
        <v>1</v>
      </c>
      <c r="CI14" s="155">
        <v>0</v>
      </c>
      <c r="CJ14" s="215">
        <v>0</v>
      </c>
      <c r="CK14" s="155">
        <v>1</v>
      </c>
      <c r="CL14" s="155">
        <v>0</v>
      </c>
      <c r="CM14" s="215">
        <v>0</v>
      </c>
      <c r="CN14" s="155">
        <v>1</v>
      </c>
      <c r="CO14" s="155">
        <v>0</v>
      </c>
      <c r="CP14" s="215">
        <v>0</v>
      </c>
      <c r="CQ14" s="155">
        <v>1</v>
      </c>
      <c r="CR14" s="155">
        <v>0</v>
      </c>
      <c r="CS14" s="215">
        <v>0</v>
      </c>
      <c r="CT14" s="155">
        <v>1</v>
      </c>
      <c r="CU14" s="155">
        <v>0</v>
      </c>
      <c r="CV14" s="215">
        <v>0</v>
      </c>
      <c r="CW14" s="155">
        <v>1</v>
      </c>
      <c r="CX14" s="155">
        <v>0</v>
      </c>
      <c r="CY14" s="215">
        <v>0</v>
      </c>
      <c r="CZ14" s="155">
        <v>1</v>
      </c>
      <c r="DA14" s="155">
        <v>0</v>
      </c>
      <c r="DB14" s="215">
        <v>0</v>
      </c>
      <c r="DC14" s="155">
        <v>1</v>
      </c>
      <c r="DD14" s="155">
        <v>0</v>
      </c>
      <c r="DE14" s="215">
        <v>0</v>
      </c>
      <c r="DF14" s="155">
        <v>1</v>
      </c>
      <c r="DG14" s="155">
        <v>0</v>
      </c>
      <c r="DH14" s="215">
        <v>0</v>
      </c>
      <c r="DI14" s="155">
        <v>1</v>
      </c>
      <c r="DJ14" s="155">
        <v>0</v>
      </c>
      <c r="DK14" s="215">
        <v>0</v>
      </c>
      <c r="DL14" s="155">
        <v>1</v>
      </c>
      <c r="DM14" s="155">
        <v>0</v>
      </c>
      <c r="DN14" s="215">
        <v>0</v>
      </c>
      <c r="DO14" s="155">
        <v>1</v>
      </c>
      <c r="DP14" s="155">
        <v>0</v>
      </c>
      <c r="DQ14" s="215">
        <v>0</v>
      </c>
      <c r="DR14" s="155">
        <v>1</v>
      </c>
      <c r="DS14" s="155">
        <v>0</v>
      </c>
      <c r="DT14" s="215">
        <v>0</v>
      </c>
      <c r="DU14" s="155">
        <v>1</v>
      </c>
      <c r="DV14" s="155">
        <v>0</v>
      </c>
      <c r="DW14" s="215">
        <v>0</v>
      </c>
      <c r="DX14" s="155">
        <v>1</v>
      </c>
      <c r="DY14" s="155">
        <v>0</v>
      </c>
      <c r="DZ14" s="155"/>
    </row>
    <row r="15" spans="1:131" hidden="1" x14ac:dyDescent="0.25">
      <c r="A15" s="155"/>
      <c r="B15" s="155"/>
      <c r="C15" s="188"/>
      <c r="D15" s="155"/>
      <c r="E15" s="189" t="s">
        <v>15</v>
      </c>
      <c r="F15" s="155"/>
      <c r="G15" s="155"/>
      <c r="H15" s="155"/>
      <c r="I15" s="155"/>
      <c r="J15" s="207">
        <v>0</v>
      </c>
      <c r="K15" s="212">
        <v>0</v>
      </c>
      <c r="L15" s="155">
        <v>1</v>
      </c>
      <c r="M15" s="215">
        <v>0</v>
      </c>
      <c r="N15" s="155">
        <v>0</v>
      </c>
      <c r="O15" s="155">
        <v>1</v>
      </c>
      <c r="P15" s="215">
        <v>0</v>
      </c>
      <c r="Q15" s="155">
        <v>0</v>
      </c>
      <c r="R15" s="155">
        <v>1</v>
      </c>
      <c r="S15" s="215">
        <v>0</v>
      </c>
      <c r="T15" s="155">
        <v>0</v>
      </c>
      <c r="U15" s="155">
        <v>1</v>
      </c>
      <c r="V15" s="215">
        <v>0</v>
      </c>
      <c r="W15" s="155">
        <v>0</v>
      </c>
      <c r="X15" s="155">
        <v>1</v>
      </c>
      <c r="Y15" s="215">
        <v>0</v>
      </c>
      <c r="Z15" s="155">
        <v>0</v>
      </c>
      <c r="AA15" s="155">
        <v>1</v>
      </c>
      <c r="AB15" s="215">
        <v>0</v>
      </c>
      <c r="AC15" s="155">
        <v>0</v>
      </c>
      <c r="AD15" s="155">
        <v>1</v>
      </c>
      <c r="AE15" s="215">
        <v>0</v>
      </c>
      <c r="AF15" s="155">
        <v>0</v>
      </c>
      <c r="AG15" s="155">
        <v>1</v>
      </c>
      <c r="AH15" s="215">
        <v>0</v>
      </c>
      <c r="AI15" s="155">
        <v>0</v>
      </c>
      <c r="AJ15" s="155">
        <v>1</v>
      </c>
      <c r="AK15" s="215">
        <v>0</v>
      </c>
      <c r="AL15" s="155">
        <v>0</v>
      </c>
      <c r="AM15" s="155">
        <v>1</v>
      </c>
      <c r="AN15" s="215">
        <v>0</v>
      </c>
      <c r="AO15" s="155">
        <v>0</v>
      </c>
      <c r="AP15" s="155">
        <v>1</v>
      </c>
      <c r="AQ15" s="215">
        <v>0</v>
      </c>
      <c r="AR15" s="155">
        <v>0</v>
      </c>
      <c r="AS15" s="155">
        <v>1</v>
      </c>
      <c r="AT15" s="215">
        <v>0</v>
      </c>
      <c r="AU15" s="155">
        <v>0</v>
      </c>
      <c r="AV15" s="155">
        <v>1</v>
      </c>
      <c r="AW15" s="215">
        <v>0</v>
      </c>
      <c r="AX15" s="155">
        <v>0</v>
      </c>
      <c r="AY15" s="155">
        <v>1</v>
      </c>
      <c r="AZ15" s="215">
        <v>0</v>
      </c>
      <c r="BA15" s="155">
        <v>0</v>
      </c>
      <c r="BB15" s="155">
        <v>1</v>
      </c>
      <c r="BC15" s="215">
        <v>0</v>
      </c>
      <c r="BD15" s="155">
        <v>0</v>
      </c>
      <c r="BE15" s="155">
        <v>1</v>
      </c>
      <c r="BF15" s="215">
        <v>0</v>
      </c>
      <c r="BG15" s="155">
        <v>0</v>
      </c>
      <c r="BH15" s="155">
        <v>1</v>
      </c>
      <c r="BI15" s="215">
        <v>0</v>
      </c>
      <c r="BJ15" s="155">
        <v>0</v>
      </c>
      <c r="BK15" s="155">
        <v>1</v>
      </c>
      <c r="BL15" s="215">
        <v>0</v>
      </c>
      <c r="BM15" s="155">
        <v>0</v>
      </c>
      <c r="BN15" s="155">
        <v>1</v>
      </c>
      <c r="BO15" s="215">
        <v>0</v>
      </c>
      <c r="BP15" s="155">
        <v>0</v>
      </c>
      <c r="BQ15" s="155">
        <v>1</v>
      </c>
      <c r="BR15" s="215">
        <v>0</v>
      </c>
      <c r="BS15" s="155">
        <v>0</v>
      </c>
      <c r="BT15" s="155">
        <v>1</v>
      </c>
      <c r="BU15" s="215">
        <v>0</v>
      </c>
      <c r="BV15" s="155">
        <v>0</v>
      </c>
      <c r="BW15" s="155">
        <v>1</v>
      </c>
      <c r="BX15" s="215">
        <v>0</v>
      </c>
      <c r="BY15" s="155">
        <v>0</v>
      </c>
      <c r="BZ15" s="155">
        <v>1</v>
      </c>
      <c r="CA15" s="215">
        <v>0</v>
      </c>
      <c r="CB15" s="155">
        <v>0</v>
      </c>
      <c r="CC15" s="155">
        <v>1</v>
      </c>
      <c r="CD15" s="215">
        <v>0</v>
      </c>
      <c r="CE15" s="155">
        <v>0</v>
      </c>
      <c r="CF15" s="155">
        <v>1</v>
      </c>
      <c r="CG15" s="215">
        <v>0</v>
      </c>
      <c r="CH15" s="155">
        <v>0</v>
      </c>
      <c r="CI15" s="155">
        <v>1</v>
      </c>
      <c r="CJ15" s="215">
        <v>0</v>
      </c>
      <c r="CK15" s="155">
        <v>0</v>
      </c>
      <c r="CL15" s="155">
        <v>1</v>
      </c>
      <c r="CM15" s="215">
        <v>0</v>
      </c>
      <c r="CN15" s="155">
        <v>0</v>
      </c>
      <c r="CO15" s="155">
        <v>1</v>
      </c>
      <c r="CP15" s="215">
        <v>0</v>
      </c>
      <c r="CQ15" s="155">
        <v>0</v>
      </c>
      <c r="CR15" s="155">
        <v>1</v>
      </c>
      <c r="CS15" s="215">
        <v>0</v>
      </c>
      <c r="CT15" s="155">
        <v>0</v>
      </c>
      <c r="CU15" s="155">
        <v>1</v>
      </c>
      <c r="CV15" s="215">
        <v>0</v>
      </c>
      <c r="CW15" s="155">
        <v>0</v>
      </c>
      <c r="CX15" s="155">
        <v>1</v>
      </c>
      <c r="CY15" s="215">
        <v>0</v>
      </c>
      <c r="CZ15" s="155">
        <v>0</v>
      </c>
      <c r="DA15" s="155">
        <v>1</v>
      </c>
      <c r="DB15" s="215">
        <v>0</v>
      </c>
      <c r="DC15" s="155">
        <v>0</v>
      </c>
      <c r="DD15" s="155">
        <v>1</v>
      </c>
      <c r="DE15" s="215">
        <v>0</v>
      </c>
      <c r="DF15" s="155">
        <v>0</v>
      </c>
      <c r="DG15" s="155">
        <v>1</v>
      </c>
      <c r="DH15" s="215">
        <v>0</v>
      </c>
      <c r="DI15" s="155">
        <v>0</v>
      </c>
      <c r="DJ15" s="155">
        <v>1</v>
      </c>
      <c r="DK15" s="215">
        <v>0</v>
      </c>
      <c r="DL15" s="155">
        <v>0</v>
      </c>
      <c r="DM15" s="155">
        <v>1</v>
      </c>
      <c r="DN15" s="215">
        <v>0</v>
      </c>
      <c r="DO15" s="155">
        <v>0</v>
      </c>
      <c r="DP15" s="155">
        <v>1</v>
      </c>
      <c r="DQ15" s="215">
        <v>0</v>
      </c>
      <c r="DR15" s="155">
        <v>0</v>
      </c>
      <c r="DS15" s="155">
        <v>1</v>
      </c>
      <c r="DT15" s="215">
        <v>0</v>
      </c>
      <c r="DU15" s="155">
        <v>0</v>
      </c>
      <c r="DV15" s="155">
        <v>1</v>
      </c>
      <c r="DW15" s="215">
        <v>0</v>
      </c>
      <c r="DX15" s="155">
        <v>0</v>
      </c>
      <c r="DY15" s="155">
        <v>1</v>
      </c>
      <c r="DZ15" s="155"/>
    </row>
    <row r="16" spans="1:131" x14ac:dyDescent="0.25">
      <c r="A16" s="157"/>
      <c r="B16" s="157"/>
      <c r="C16" s="157">
        <v>300</v>
      </c>
      <c r="D16" s="157" t="s">
        <v>108</v>
      </c>
      <c r="E16" s="190" t="s">
        <v>104</v>
      </c>
      <c r="F16" s="190"/>
      <c r="G16" s="190"/>
      <c r="H16" s="190"/>
      <c r="I16" s="216">
        <f>SUBTOTAL(109,I$4:I$11)</f>
        <v>31</v>
      </c>
      <c r="J16" s="217">
        <f>SUBTOTAL(109,J$4:J$11)</f>
        <v>5</v>
      </c>
      <c r="K16" s="217">
        <f>SUBTOTAL(109,K$4:K$10)</f>
        <v>26</v>
      </c>
      <c r="L16" s="216"/>
      <c r="M16" s="216">
        <f>SUBTOTAL(109,M$4:M$11)</f>
        <v>1</v>
      </c>
      <c r="N16" s="216">
        <f>SUBTOTAL(109,N$4:N$10)</f>
        <v>25</v>
      </c>
      <c r="O16" s="216"/>
      <c r="P16" s="216">
        <f>SUBTOTAL(109,P$4:P$11)</f>
        <v>3</v>
      </c>
      <c r="Q16" s="216">
        <f>SUBTOTAL(109,Q$4:Q$10)</f>
        <v>22</v>
      </c>
      <c r="R16" s="216"/>
      <c r="S16" s="216">
        <f>SUBTOTAL(109,S$4:S$11)</f>
        <v>0</v>
      </c>
      <c r="T16" s="216">
        <f>SUBTOTAL(109,T$4:T$10)</f>
        <v>22</v>
      </c>
      <c r="U16" s="216"/>
      <c r="V16" s="216">
        <f>SUBTOTAL(109,V$4:V$11)</f>
        <v>5</v>
      </c>
      <c r="W16" s="216">
        <f>SUBTOTAL(109,W$4:W$10)</f>
        <v>17</v>
      </c>
      <c r="X16" s="216"/>
      <c r="Y16" s="216">
        <f>SUBTOTAL(109,Y$4:Y$11)</f>
        <v>1</v>
      </c>
      <c r="Z16" s="216">
        <f>SUBTOTAL(109,Z$4:Z$10)</f>
        <v>16</v>
      </c>
      <c r="AA16" s="216"/>
      <c r="AB16" s="216">
        <f>SUBTOTAL(109,AB$4:AB$11)</f>
        <v>0</v>
      </c>
      <c r="AC16" s="216">
        <f>SUBTOTAL(109,AC$4:AC$10)</f>
        <v>16</v>
      </c>
      <c r="AD16" s="216"/>
      <c r="AE16" s="216">
        <f>SUBTOTAL(109,AE$4:AE$11)</f>
        <v>0</v>
      </c>
      <c r="AF16" s="216">
        <f>SUBTOTAL(109,AF$4:AF$10)</f>
        <v>16</v>
      </c>
      <c r="AG16" s="216"/>
      <c r="AH16" s="216">
        <f>SUBTOTAL(109,AH$4:AH$11)</f>
        <v>0</v>
      </c>
      <c r="AI16" s="216">
        <f>SUBTOTAL(109,AI$4:AI$10)</f>
        <v>16</v>
      </c>
      <c r="AJ16" s="216"/>
      <c r="AK16" s="216">
        <f>SUBTOTAL(109,AK$4:AK$11)</f>
        <v>0</v>
      </c>
      <c r="AL16" s="216">
        <f>SUBTOTAL(109,AL$4:AL$10)</f>
        <v>16</v>
      </c>
      <c r="AM16" s="216"/>
      <c r="AN16" s="216">
        <f>SUBTOTAL(109,AN$4:AN$11)</f>
        <v>0</v>
      </c>
      <c r="AO16" s="216">
        <f>SUBTOTAL(109,AO$4:AO$10)</f>
        <v>16</v>
      </c>
      <c r="AP16" s="216"/>
      <c r="AQ16" s="216">
        <f>SUBTOTAL(109,AQ$4:AQ$11)</f>
        <v>0</v>
      </c>
      <c r="AR16" s="216">
        <f>SUBTOTAL(109,AR$4:AR$10)</f>
        <v>16</v>
      </c>
      <c r="AS16" s="216"/>
      <c r="AT16" s="216">
        <f>SUBTOTAL(109,AT$4:AT$11)</f>
        <v>0</v>
      </c>
      <c r="AU16" s="216">
        <f>SUBTOTAL(109,AU$4:AU$10)</f>
        <v>16</v>
      </c>
      <c r="AV16" s="216"/>
      <c r="AW16" s="216">
        <f>SUBTOTAL(109,AW$4:AW$11)</f>
        <v>0</v>
      </c>
      <c r="AX16" s="216">
        <f>SUBTOTAL(109,AX$4:AX$10)</f>
        <v>16</v>
      </c>
      <c r="AY16" s="216"/>
      <c r="AZ16" s="216">
        <f>SUBTOTAL(109,AZ$4:AZ$11)</f>
        <v>0</v>
      </c>
      <c r="BA16" s="216">
        <f>SUBTOTAL(109,BA$4:BA$10)</f>
        <v>16</v>
      </c>
      <c r="BB16" s="216"/>
      <c r="BC16" s="216">
        <f>SUBTOTAL(109,BC$4:BC$11)</f>
        <v>0</v>
      </c>
      <c r="BD16" s="216">
        <f>SUBTOTAL(109,BD$4:BD$10)</f>
        <v>16</v>
      </c>
      <c r="BE16" s="216"/>
      <c r="BF16" s="216">
        <f>SUBTOTAL(109,BF$4:BF$11)</f>
        <v>0</v>
      </c>
      <c r="BG16" s="216">
        <f>SUBTOTAL(109,BG$4:BG$10)</f>
        <v>16</v>
      </c>
      <c r="BH16" s="216"/>
      <c r="BI16" s="216">
        <f>SUBTOTAL(109,BI$4:BI$11)</f>
        <v>0</v>
      </c>
      <c r="BJ16" s="216">
        <f>SUBTOTAL(109,BJ$4:BJ$10)</f>
        <v>16</v>
      </c>
      <c r="BK16" s="216"/>
      <c r="BL16" s="216">
        <f>SUBTOTAL(109,BL$4:BL$11)</f>
        <v>0</v>
      </c>
      <c r="BM16" s="216">
        <f>SUBTOTAL(109,BM$4:BM$10)</f>
        <v>16</v>
      </c>
      <c r="BN16" s="216"/>
      <c r="BO16" s="216">
        <f>SUBTOTAL(109,BO$4:BO$11)</f>
        <v>0</v>
      </c>
      <c r="BP16" s="216">
        <f>SUBTOTAL(109,BP$4:BP$10)</f>
        <v>16</v>
      </c>
      <c r="BQ16" s="216"/>
      <c r="BR16" s="216">
        <f>SUBTOTAL(109,BR$4:BR$11)</f>
        <v>0</v>
      </c>
      <c r="BS16" s="216">
        <f>SUBTOTAL(109,BS$4:BS$10)</f>
        <v>16</v>
      </c>
      <c r="BT16" s="216"/>
      <c r="BU16" s="216">
        <f>SUBTOTAL(109,BU$4:BU$11)</f>
        <v>0</v>
      </c>
      <c r="BV16" s="216">
        <f>SUBTOTAL(109,BV$4:BV$10)</f>
        <v>16</v>
      </c>
      <c r="BW16" s="216"/>
      <c r="BX16" s="216">
        <f>SUBTOTAL(109,BX$4:BX$11)</f>
        <v>0</v>
      </c>
      <c r="BY16" s="216">
        <f>SUBTOTAL(109,BY$4:BY$10)</f>
        <v>16</v>
      </c>
      <c r="BZ16" s="216"/>
      <c r="CA16" s="216">
        <f>SUBTOTAL(109,CA$4:CA$11)</f>
        <v>0</v>
      </c>
      <c r="CB16" s="216">
        <f>SUBTOTAL(109,CB$4:CB$10)</f>
        <v>16</v>
      </c>
      <c r="CC16" s="216"/>
      <c r="CD16" s="216">
        <f>SUBTOTAL(109,CD$4:CD$11)</f>
        <v>0</v>
      </c>
      <c r="CE16" s="216">
        <f>SUBTOTAL(109,CE$4:CE$10)</f>
        <v>16</v>
      </c>
      <c r="CF16" s="216"/>
      <c r="CG16" s="216">
        <f>SUBTOTAL(109,CG$4:CG$11)</f>
        <v>0</v>
      </c>
      <c r="CH16" s="216">
        <f>SUBTOTAL(109,CH$4:CH$10)</f>
        <v>16</v>
      </c>
      <c r="CI16" s="216"/>
      <c r="CJ16" s="216">
        <f>SUBTOTAL(109,CJ$4:CJ$11)</f>
        <v>0</v>
      </c>
      <c r="CK16" s="216">
        <f>SUBTOTAL(109,CK$4:CK$10)</f>
        <v>16</v>
      </c>
      <c r="CL16" s="216"/>
      <c r="CM16" s="216">
        <f>SUBTOTAL(109,CM$4:CM$11)</f>
        <v>0</v>
      </c>
      <c r="CN16" s="216">
        <f>SUBTOTAL(109,CN$4:CN$10)</f>
        <v>16</v>
      </c>
      <c r="CO16" s="216"/>
      <c r="CP16" s="216">
        <f>SUBTOTAL(109,CP$4:CP$11)</f>
        <v>0</v>
      </c>
      <c r="CQ16" s="216">
        <f>SUBTOTAL(109,CQ$4:CQ$10)</f>
        <v>16</v>
      </c>
      <c r="CR16" s="216"/>
      <c r="CS16" s="216">
        <f>SUBTOTAL(109,CS$4:CS$11)</f>
        <v>0</v>
      </c>
      <c r="CT16" s="216">
        <f>SUBTOTAL(109,CT$4:CT$10)</f>
        <v>16</v>
      </c>
      <c r="CU16" s="216"/>
      <c r="CV16" s="216">
        <f>SUBTOTAL(109,CV$4:CV$10)</f>
        <v>0</v>
      </c>
      <c r="CW16" s="216">
        <f>SUBTOTAL(109,CW$4:CW$10)</f>
        <v>16</v>
      </c>
      <c r="CX16" s="216">
        <f>SUBTOTAL(109,CX$4:CX$10)</f>
        <v>0</v>
      </c>
      <c r="CY16" s="216">
        <f>SUBTOTAL(109,CY$4:CY$10)</f>
        <v>0</v>
      </c>
      <c r="CZ16" s="216">
        <f>SUBTOTAL(109,CZ$4:CZ$10)</f>
        <v>16</v>
      </c>
      <c r="DA16" s="216">
        <f>SUBTOTAL(109,DA$4:DA$10)</f>
        <v>0</v>
      </c>
      <c r="DB16" s="216">
        <f>SUBTOTAL(109,DB$4:DB$10)</f>
        <v>0</v>
      </c>
      <c r="DC16" s="216">
        <f>SUBTOTAL(109,DC$4:DC$10)</f>
        <v>16</v>
      </c>
      <c r="DD16" s="216">
        <f>SUBTOTAL(109,DD$4:DD$10)</f>
        <v>0</v>
      </c>
      <c r="DE16" s="216">
        <f>SUBTOTAL(109,DE$4:DE$10)</f>
        <v>0</v>
      </c>
      <c r="DF16" s="216">
        <f>SUBTOTAL(109,DF$4:DF$10)</f>
        <v>16</v>
      </c>
      <c r="DG16" s="216">
        <f>SUBTOTAL(109,DG$4:DG$10)</f>
        <v>0</v>
      </c>
      <c r="DH16" s="216">
        <f>SUBTOTAL(109,DH$4:DH$10)</f>
        <v>0</v>
      </c>
      <c r="DI16" s="216">
        <f>SUBTOTAL(109,DI$4:DI$10)</f>
        <v>16</v>
      </c>
      <c r="DJ16" s="216">
        <f>SUBTOTAL(109,DJ$4:DJ$10)</f>
        <v>0</v>
      </c>
      <c r="DK16" s="216">
        <f>SUBTOTAL(109,DK$4:DK$10)</f>
        <v>0</v>
      </c>
      <c r="DL16" s="216">
        <f>SUBTOTAL(109,DL$4:DL$10)</f>
        <v>16</v>
      </c>
      <c r="DM16" s="216">
        <f>SUBTOTAL(109,DM$4:DM$10)</f>
        <v>0</v>
      </c>
      <c r="DN16" s="216">
        <f>SUBTOTAL(109,DN$4:DN$10)</f>
        <v>0</v>
      </c>
      <c r="DO16" s="216">
        <f>SUBTOTAL(109,DO$4:DO$10)</f>
        <v>16</v>
      </c>
      <c r="DP16" s="216">
        <f>SUBTOTAL(109,DP$4:DP$10)</f>
        <v>0</v>
      </c>
      <c r="DQ16" s="216">
        <f>SUBTOTAL(109,DQ$4:DQ$10)</f>
        <v>0</v>
      </c>
      <c r="DR16" s="216">
        <f>SUBTOTAL(109,DR$4:DR$10)</f>
        <v>16</v>
      </c>
      <c r="DS16" s="216">
        <f>SUBTOTAL(109,DS$4:DS$10)</f>
        <v>0</v>
      </c>
      <c r="DT16" s="216">
        <f>SUBTOTAL(109,DT$4:DT$10)</f>
        <v>0</v>
      </c>
      <c r="DU16" s="216">
        <f>SUBTOTAL(109,DU$4:DU$10)</f>
        <v>16</v>
      </c>
      <c r="DV16" s="216">
        <f>SUBTOTAL(109,DV$4:DV$10)</f>
        <v>0</v>
      </c>
      <c r="DW16" s="216">
        <f>SUBTOTAL(109,DW$4:DW$10)</f>
        <v>0</v>
      </c>
      <c r="DX16" s="216">
        <f>SUBTOTAL(109,DX$4:DX$10)</f>
        <v>16</v>
      </c>
      <c r="DY16" s="216">
        <f>SUBTOTAL(109,DY$4:DY$10)</f>
        <v>0</v>
      </c>
      <c r="DZ16" s="190"/>
      <c r="EA16" s="218"/>
    </row>
    <row r="17" spans="1:130" x14ac:dyDescent="0.25">
      <c r="C17" s="159"/>
      <c r="D17" s="159"/>
      <c r="E17" s="159"/>
      <c r="F17" s="159"/>
      <c r="G17" s="159"/>
      <c r="H17" s="159"/>
      <c r="I17" s="159"/>
      <c r="J17" s="219"/>
      <c r="K17" s="220"/>
      <c r="L17" s="159"/>
      <c r="M17" s="221"/>
      <c r="N17" s="159"/>
      <c r="O17" s="159"/>
      <c r="P17" s="221"/>
      <c r="Q17" s="159"/>
      <c r="R17" s="159"/>
      <c r="S17" s="221"/>
      <c r="T17" s="159"/>
      <c r="U17" s="159"/>
      <c r="V17" s="221"/>
      <c r="W17" s="159"/>
      <c r="X17" s="159"/>
      <c r="Y17" s="221"/>
      <c r="Z17" s="159"/>
      <c r="AA17" s="159"/>
      <c r="AB17" s="221"/>
      <c r="AC17" s="159"/>
      <c r="AD17" s="159"/>
      <c r="AE17" s="221"/>
      <c r="AF17" s="159"/>
      <c r="AG17" s="159"/>
      <c r="AH17" s="221"/>
      <c r="AI17" s="159"/>
      <c r="AJ17" s="159"/>
      <c r="AK17" s="221"/>
      <c r="AL17" s="159"/>
      <c r="AM17" s="159"/>
      <c r="AN17" s="221"/>
      <c r="AO17" s="159"/>
      <c r="AP17" s="159"/>
      <c r="AQ17" s="221"/>
      <c r="AR17" s="159"/>
      <c r="AS17" s="159"/>
      <c r="AT17" s="221"/>
      <c r="AU17" s="159"/>
      <c r="AV17" s="159"/>
      <c r="AW17" s="221"/>
      <c r="AX17" s="159"/>
      <c r="AY17" s="159"/>
      <c r="AZ17" s="221"/>
      <c r="BA17" s="159"/>
      <c r="BB17" s="159"/>
      <c r="BC17" s="221"/>
      <c r="BD17" s="159"/>
      <c r="BE17" s="159"/>
      <c r="BF17" s="221"/>
      <c r="BG17" s="159"/>
      <c r="BH17" s="159"/>
      <c r="BI17" s="221"/>
      <c r="BJ17" s="159"/>
      <c r="BK17" s="159"/>
      <c r="BL17" s="221"/>
      <c r="BM17" s="159"/>
      <c r="BN17" s="159"/>
      <c r="BO17" s="221"/>
      <c r="BP17" s="159"/>
      <c r="BQ17" s="159"/>
      <c r="BR17" s="221"/>
      <c r="BS17" s="159"/>
      <c r="BT17" s="159"/>
      <c r="BU17" s="221"/>
      <c r="BV17" s="159"/>
      <c r="BW17" s="159"/>
      <c r="BX17" s="221"/>
      <c r="BY17" s="159"/>
      <c r="BZ17" s="159"/>
      <c r="CA17" s="221"/>
      <c r="CB17" s="159"/>
      <c r="CC17" s="159"/>
      <c r="CD17" s="221"/>
      <c r="CE17" s="159"/>
      <c r="CF17" s="159"/>
      <c r="CG17" s="221"/>
      <c r="CH17" s="159"/>
      <c r="CI17" s="159"/>
      <c r="CJ17" s="221"/>
      <c r="CK17" s="159"/>
      <c r="CL17" s="159"/>
      <c r="CM17" s="221"/>
      <c r="CN17" s="159"/>
      <c r="CO17" s="159"/>
      <c r="CP17" s="221"/>
      <c r="CQ17" s="159"/>
      <c r="CR17" s="159"/>
      <c r="CS17" s="221"/>
      <c r="CT17" s="159"/>
      <c r="CU17" s="159"/>
      <c r="CV17" s="221"/>
      <c r="CW17" s="159"/>
      <c r="CX17" s="159"/>
      <c r="CY17" s="221"/>
      <c r="CZ17" s="159"/>
      <c r="DA17" s="159"/>
      <c r="DB17" s="221"/>
      <c r="DC17" s="159"/>
      <c r="DD17" s="159"/>
      <c r="DE17" s="221"/>
      <c r="DF17" s="159"/>
      <c r="DG17" s="159"/>
      <c r="DH17" s="221"/>
      <c r="DI17" s="159"/>
      <c r="DJ17" s="159"/>
      <c r="DK17" s="221"/>
      <c r="DL17" s="159"/>
      <c r="DM17" s="159"/>
      <c r="DN17" s="221"/>
      <c r="DO17" s="159"/>
      <c r="DP17" s="159"/>
      <c r="DQ17" s="221"/>
      <c r="DR17" s="159"/>
      <c r="DS17" s="159"/>
      <c r="DT17" s="221"/>
      <c r="DU17" s="159"/>
      <c r="DV17" s="159"/>
      <c r="DW17" s="221"/>
      <c r="DX17" s="159"/>
      <c r="DY17" s="159"/>
      <c r="DZ17" s="159"/>
    </row>
    <row r="18" spans="1:130" x14ac:dyDescent="0.25">
      <c r="C18" s="159"/>
      <c r="D18" s="159"/>
      <c r="E18" s="159"/>
      <c r="F18" s="159"/>
      <c r="G18" s="159"/>
      <c r="H18" s="159"/>
      <c r="I18" s="159"/>
      <c r="J18" s="219"/>
      <c r="K18" s="220"/>
      <c r="L18" s="159"/>
      <c r="M18" s="221"/>
      <c r="N18" s="159"/>
      <c r="O18" s="159"/>
      <c r="P18" s="221"/>
      <c r="Q18" s="159"/>
      <c r="R18" s="159"/>
      <c r="S18" s="221"/>
      <c r="T18" s="159"/>
      <c r="U18" s="159"/>
      <c r="V18" s="221"/>
      <c r="W18" s="159"/>
      <c r="X18" s="159"/>
      <c r="Y18" s="221"/>
      <c r="Z18" s="159"/>
      <c r="AA18" s="159"/>
      <c r="AB18" s="221"/>
      <c r="AC18" s="159"/>
      <c r="AD18" s="159"/>
      <c r="AE18" s="221"/>
      <c r="AF18" s="159"/>
      <c r="AG18" s="159"/>
      <c r="AH18" s="221"/>
      <c r="AI18" s="159"/>
      <c r="AJ18" s="159"/>
      <c r="AK18" s="221"/>
      <c r="AL18" s="159"/>
      <c r="AM18" s="159"/>
      <c r="AN18" s="221"/>
      <c r="AO18" s="159"/>
      <c r="AP18" s="159"/>
      <c r="AQ18" s="221"/>
      <c r="AR18" s="159"/>
      <c r="AS18" s="159"/>
      <c r="AT18" s="221"/>
      <c r="AU18" s="159"/>
      <c r="AV18" s="159"/>
      <c r="AW18" s="221"/>
      <c r="AX18" s="159"/>
      <c r="AY18" s="159"/>
      <c r="AZ18" s="221"/>
      <c r="BA18" s="159"/>
      <c r="BB18" s="159"/>
      <c r="BC18" s="221"/>
      <c r="BD18" s="159"/>
      <c r="BE18" s="159"/>
      <c r="BF18" s="221"/>
      <c r="BG18" s="159"/>
      <c r="BH18" s="159"/>
      <c r="BI18" s="221"/>
      <c r="BJ18" s="159"/>
      <c r="BK18" s="159"/>
      <c r="BL18" s="221"/>
      <c r="BM18" s="159"/>
      <c r="BN18" s="159"/>
      <c r="BO18" s="221"/>
      <c r="BP18" s="159"/>
      <c r="BQ18" s="159"/>
      <c r="BR18" s="221"/>
      <c r="BS18" s="159"/>
      <c r="BT18" s="159"/>
      <c r="BU18" s="221"/>
      <c r="BV18" s="159"/>
      <c r="BW18" s="159"/>
      <c r="BX18" s="221"/>
      <c r="BY18" s="159"/>
      <c r="BZ18" s="159"/>
      <c r="CA18" s="221"/>
      <c r="CB18" s="159"/>
      <c r="CC18" s="159"/>
      <c r="CD18" s="221"/>
      <c r="CE18" s="159"/>
      <c r="CF18" s="159"/>
      <c r="CG18" s="221"/>
      <c r="CH18" s="159"/>
      <c r="CI18" s="159"/>
      <c r="CJ18" s="221"/>
      <c r="CK18" s="159"/>
      <c r="CL18" s="159"/>
      <c r="CM18" s="221"/>
      <c r="CN18" s="159"/>
      <c r="CO18" s="159"/>
      <c r="CP18" s="221"/>
      <c r="CQ18" s="159"/>
      <c r="CR18" s="159"/>
      <c r="CS18" s="221"/>
      <c r="CT18" s="159"/>
      <c r="CU18" s="159"/>
      <c r="CV18" s="221"/>
      <c r="CW18" s="159"/>
      <c r="CX18" s="159"/>
      <c r="CY18" s="221"/>
      <c r="CZ18" s="159"/>
      <c r="DA18" s="159"/>
      <c r="DB18" s="221"/>
      <c r="DC18" s="159"/>
      <c r="DD18" s="159"/>
      <c r="DE18" s="221"/>
      <c r="DF18" s="159"/>
      <c r="DG18" s="159"/>
      <c r="DH18" s="221"/>
      <c r="DI18" s="159"/>
      <c r="DJ18" s="159"/>
      <c r="DK18" s="221"/>
      <c r="DL18" s="159"/>
      <c r="DM18" s="159"/>
      <c r="DN18" s="221"/>
      <c r="DO18" s="159"/>
      <c r="DP18" s="159"/>
      <c r="DQ18" s="221"/>
      <c r="DR18" s="159"/>
      <c r="DS18" s="159"/>
      <c r="DT18" s="221"/>
      <c r="DU18" s="159"/>
      <c r="DV18" s="159"/>
      <c r="DW18" s="221"/>
      <c r="DX18" s="159"/>
      <c r="DY18" s="159"/>
      <c r="DZ18" s="159"/>
    </row>
    <row r="19" spans="1:130" x14ac:dyDescent="0.25">
      <c r="C19" s="159"/>
      <c r="D19" s="159"/>
      <c r="E19" s="159"/>
      <c r="F19" s="159"/>
      <c r="G19" s="159"/>
    </row>
    <row r="20" spans="1:130" x14ac:dyDescent="0.25">
      <c r="C20" s="159"/>
      <c r="D20" s="159"/>
      <c r="E20" s="159"/>
      <c r="F20" s="159"/>
      <c r="G20" s="159"/>
    </row>
    <row r="23" spans="1:130" x14ac:dyDescent="0.25">
      <c r="A23" s="159"/>
      <c r="B23" s="159"/>
    </row>
    <row r="24" spans="1:130" x14ac:dyDescent="0.25">
      <c r="A24" s="159"/>
      <c r="B24" s="159"/>
    </row>
    <row r="25" spans="1:130" x14ac:dyDescent="0.25">
      <c r="A25" s="159"/>
      <c r="B25" s="159"/>
    </row>
  </sheetData>
  <autoFilter ref="C3:EA10" xr:uid="{00000000-0009-0000-0000-000000000000}">
    <sortState ref="C4:EA49">
      <sortCondition sortBy="fontColor" ref="C3:C49" dxfId="90"/>
    </sortState>
  </autoFilter>
  <sortState ref="A3:DY61">
    <sortCondition descending="1" ref="H41"/>
  </sortState>
  <mergeCells count="80">
    <mergeCell ref="CG1:CI1"/>
    <mergeCell ref="CG12:CH12"/>
    <mergeCell ref="BU1:BW1"/>
    <mergeCell ref="BU12:BV12"/>
    <mergeCell ref="BX1:BZ1"/>
    <mergeCell ref="BX12:BY12"/>
    <mergeCell ref="CA1:CC1"/>
    <mergeCell ref="CA12:CB12"/>
    <mergeCell ref="CD12:CE12"/>
    <mergeCell ref="CD1:CF1"/>
    <mergeCell ref="AK1:AM1"/>
    <mergeCell ref="AN1:AP1"/>
    <mergeCell ref="P1:R1"/>
    <mergeCell ref="S1:U1"/>
    <mergeCell ref="AH1:AJ1"/>
    <mergeCell ref="V1:X1"/>
    <mergeCell ref="BR1:BT1"/>
    <mergeCell ref="BF1:BH1"/>
    <mergeCell ref="AT1:AV1"/>
    <mergeCell ref="AW1:AY1"/>
    <mergeCell ref="BI1:BK1"/>
    <mergeCell ref="BL1:BN1"/>
    <mergeCell ref="AZ1:BB1"/>
    <mergeCell ref="BC1:BE1"/>
    <mergeCell ref="BO1:BQ1"/>
    <mergeCell ref="AQ1:AS1"/>
    <mergeCell ref="J12:K12"/>
    <mergeCell ref="M12:N12"/>
    <mergeCell ref="P12:Q12"/>
    <mergeCell ref="S12:T12"/>
    <mergeCell ref="AH12:AI12"/>
    <mergeCell ref="V12:W12"/>
    <mergeCell ref="J1:L1"/>
    <mergeCell ref="M1:O1"/>
    <mergeCell ref="AQ12:AR12"/>
    <mergeCell ref="Y12:Z12"/>
    <mergeCell ref="AE1:AG1"/>
    <mergeCell ref="AB1:AD1"/>
    <mergeCell ref="Y1:AA1"/>
    <mergeCell ref="AK12:AL12"/>
    <mergeCell ref="AN12:AO12"/>
    <mergeCell ref="BR12:BS12"/>
    <mergeCell ref="BF12:BG12"/>
    <mergeCell ref="AT12:AU12"/>
    <mergeCell ref="AW12:AX12"/>
    <mergeCell ref="BI12:BJ12"/>
    <mergeCell ref="BL12:BM12"/>
    <mergeCell ref="AZ12:BA12"/>
    <mergeCell ref="BC12:BD12"/>
    <mergeCell ref="BO12:BP12"/>
    <mergeCell ref="DW1:DY1"/>
    <mergeCell ref="DW12:DX12"/>
    <mergeCell ref="AE12:AF12"/>
    <mergeCell ref="AB12:AC12"/>
    <mergeCell ref="DK1:DM1"/>
    <mergeCell ref="DK12:DL12"/>
    <mergeCell ref="DN1:DP1"/>
    <mergeCell ref="DN12:DO12"/>
    <mergeCell ref="DQ1:DS1"/>
    <mergeCell ref="DQ12:DR12"/>
    <mergeCell ref="CV1:CX1"/>
    <mergeCell ref="CV12:CW12"/>
    <mergeCell ref="CY1:DA1"/>
    <mergeCell ref="CY12:CZ12"/>
    <mergeCell ref="DH1:DJ1"/>
    <mergeCell ref="DH12:DI12"/>
    <mergeCell ref="CJ1:CL1"/>
    <mergeCell ref="CJ12:CK12"/>
    <mergeCell ref="DT1:DV1"/>
    <mergeCell ref="DT12:DU12"/>
    <mergeCell ref="CM1:CO1"/>
    <mergeCell ref="CM12:CN12"/>
    <mergeCell ref="CP12:CQ12"/>
    <mergeCell ref="CP1:CR1"/>
    <mergeCell ref="CS1:CU1"/>
    <mergeCell ref="CS12:CT12"/>
    <mergeCell ref="DE1:DG1"/>
    <mergeCell ref="DE12:DF12"/>
    <mergeCell ref="DB1:DD1"/>
    <mergeCell ref="DB12:DC12"/>
  </mergeCells>
  <phoneticPr fontId="2" type="noConversion"/>
  <conditionalFormatting sqref="J1:DY1">
    <cfRule type="expression" dxfId="85" priority="449" stopIfTrue="1">
      <formula>J$1=TODAY()+DailyScrumDateModifier</formula>
    </cfRule>
    <cfRule type="expression" dxfId="84" priority="449" stopIfTrue="1">
      <formula>J$1=TODAY()</formula>
    </cfRule>
  </conditionalFormatting>
  <conditionalFormatting sqref="I16">
    <cfRule type="cellIs" dxfId="83" priority="454" stopIfTrue="1" operator="lessThan">
      <formula>C16*0.75</formula>
    </cfRule>
    <cfRule type="cellIs" dxfId="82" priority="454" stopIfTrue="1" operator="between">
      <formula>C16*0.75</formula>
      <formula>#REF!</formula>
    </cfRule>
    <cfRule type="cellIs" dxfId="81" priority="454" stopIfTrue="1" operator="greaterThan">
      <formula>C16</formula>
    </cfRule>
  </conditionalFormatting>
  <conditionalFormatting sqref="J2:J3 DW2:DW3 DN2:DN3 DQ2:DQ3 P2:P3 S2:S3 V2:V3 Y2:Y3 AB2:AB3 AE2:AE3 AH2:AH3 AK2:AK3 AN2:AN3 AQ2:AQ3 AT2:AT3 AW2:AW3 AZ2:AZ3 BC2:BC3 BF2:BF3 BI2:BI3 BL2:BL3 BO2:BO3 BR2:BR3 BU2:BU3 BX2:BX3 CA2:CA3 CD2:CD3 CG2:CG3 CJ2:CJ3 CM2:CM3 CP2:CP3 CS2:CS3 CV2:CV3 CY2:CY3 DB2:DB3 DE2:DE3 DH2:DH3 DK2:DK3 DT2:DT3 M2:M3">
    <cfRule type="expression" dxfId="80" priority="446" stopIfTrue="1">
      <formula>J$1=TODAY()+DailyScrumDateModifier</formula>
    </cfRule>
  </conditionalFormatting>
  <conditionalFormatting sqref="K2:K3 Q2:Q3 T2:T3 W2:W3 Z2:Z3 AC2:AC3 AF2:AF3 AI2:AI3 AL2:AL3 AO2:AO3 AR2:AR3 AU2:AU3 AX2:AX3 BA2:BA3 BD2:BD3 BG2:BG3 BJ2:BJ3 BM2:BM3 BP2:BP3 BS2:BS3 BV2:BV3 BY2:BY3 CB2:CB3 CE2:CE3 CH2:CH3 CK2:CK3 CN2:CN3 CQ2:CQ3 CT2:CT3 CW2:CW3 CZ2:CZ3 DC2:DC3 DF2:DF3 DI2:DI3 DL2:DL3 DO2:DO3 DR2:DR3 DU2:DU3 DX2:DX3 N2:N3">
    <cfRule type="expression" dxfId="79" priority="447" stopIfTrue="1">
      <formula>J$1=TODAY()+DailyScrumDateModifier</formula>
    </cfRule>
  </conditionalFormatting>
  <conditionalFormatting sqref="L2:L3 R2:R3 U2:U3 X2:X3 AA2:AA3 AD2:AD3 AG2:AG3 AJ2:AJ3 AM2:AM3 AP2:AP3 AS2:AS3 AV2:AV3 AY2:AY3 BB2:BB3 BE2:BE3 BH2:BH3 BK2:BK3 BN2:BN3 BQ2:BQ3 BT2:BT3 BW2:BW3 BZ2:BZ3 CC2:CC3 CF2:CF3 CI2:CI3 CL2:CL3 CO2:CO3 CR2:CR3 CU2:CU3 CX2:CX3 DA2:DA3 DD2:DD3 DG2:DG3 DJ2:DJ3 DM2:DM3 DP2:DP3 DS2:DS3 DV2:DV3 DY2:DY3 O2:O3">
    <cfRule type="expression" dxfId="78" priority="448" stopIfTrue="1">
      <formula>J$1=TODAY()+DailyScrumDateModifier</formula>
    </cfRule>
  </conditionalFormatting>
  <conditionalFormatting sqref="J17:K18 M17:N18">
    <cfRule type="expression" dxfId="77" priority="451" stopIfTrue="1">
      <formula>"I1=TODAY()"</formula>
    </cfRule>
  </conditionalFormatting>
  <conditionalFormatting sqref="G12">
    <cfRule type="cellIs" dxfId="76" priority="452" stopIfTrue="1" operator="equal">
      <formula>"Complete"</formula>
    </cfRule>
    <cfRule type="cellIs" dxfId="75" priority="452" stopIfTrue="1" operator="equal">
      <formula>"In Progress"</formula>
    </cfRule>
  </conditionalFormatting>
  <conditionalFormatting sqref="CA4:CA6 BX4:BX6 BU4:BU6 BL4:BL6 BI4:BI6 BF4:BF6 BC4:BC6 AZ4:AZ6 AQ4:AQ6 AN4:AN6 AK4:AK6 AH4:AH6 AE4:AE6 V4:V6 S4:S6 P4:P6 M4:M6 AB4:AB6 CS4:CS6 CP4:CP6 CM4:CM6 CG4:CG6 CD4:CD6 BR4:BR6 BO4:BO6 AW4:AW6 AT4:AT6 Y4:Y6 CJ4:CJ6 CV4:CV6 DW4:DW6 DT4:DT6 DQ4:DQ6 DN4:DN6 DK4:DK6 DH4:DH6 DE4:DE6 DB4:DB6 CY4:CY6 CY10 DB10 DE10 DH10 DK10 DN10 DQ10 DT10 DW10 CV10 CJ10 Y10 AT10 AW10 BO10 BR10 CD10 CG10 CM10 CP10 CS10 AB10 M10 P10 S10 V10 AE10 AH10 AK10 AN10 AQ10 AZ10 BC10 BF10 BI10 BL10 BU10 BX10 CA10">
    <cfRule type="expression" dxfId="74" priority="457" stopIfTrue="1">
      <formula>M$1=TODAY()+DailyScrumDateModifier</formula>
    </cfRule>
    <cfRule type="expression" dxfId="73" priority="457" stopIfTrue="1">
      <formula>MOD(ROW(),2)</formula>
    </cfRule>
  </conditionalFormatting>
  <conditionalFormatting sqref="K4:K6 CT4:CT6 CQ4:CQ6 CN4:CN6 T4:T6 CH4:CH6 CE4:CE6 CB4:CB6 BY4:BY6 N4:N6 BS4:BS6 BP4:BP6 BM4:BM6 BJ4:BJ6 BG4:BG6 BD4:BD6 BA4:BA6 AX4:AX6 AU4:AU6 AR4:AR6 AO4:AO6 AL4:AL6 AI4:AI6 AF4:AF6 AC4:AC6 Z4:Z6 W4:W6 CK4:CK6 Q4:Q6 BV4:BV6 CW4:CW6 DX4:DX6 DU4:DU6 DR4:DR6 DO4:DO6 DL4:DL6 DI4:DI6 DF4:DF6 DC4:DC6 CZ4:CZ6 CZ10 DC10 DF10 DI10 DL10 DO10 DR10 DU10 DX10 CW10 BV10 Q10 CK10 W10 Z10 AC10 AF10 AI10 AL10 AO10 AR10 AU10 AX10 BA10 BD10 BG10 BJ10 BM10 BP10 BS10 N10 BY10 CB10 CE10 CH10 T10 CN10 CQ10 CT10 K10">
    <cfRule type="expression" dxfId="72" priority="459" stopIfTrue="1">
      <formula>J$1=TODAY()+DailyScrumDateModifier</formula>
    </cfRule>
    <cfRule type="expression" dxfId="71" priority="459" stopIfTrue="1">
      <formula>MOD(ROW(),2)</formula>
    </cfRule>
  </conditionalFormatting>
  <conditionalFormatting sqref="A11:B11 EA4:EA6 A4:E6 I4:J6 I10:J10 A10:E10 EA10:EA11">
    <cfRule type="expression" dxfId="70" priority="461" stopIfTrue="1">
      <formula>MOD(ROW(),2)</formula>
    </cfRule>
  </conditionalFormatting>
  <conditionalFormatting sqref="X4:X6 U4:U6 R4:R6 O4:O6 CU4:CU6 CR4:CR6 CO4:CO6 CL4:CL6 CI4:CI6 CF4:CF6 CC4:CC6 BZ4:BZ6 BW4:BW6 BT4:BT6 BQ4:BQ6 BN4:BN6 BK4:BK6 BH4:BH6 BE4:BE6 BB4:BB6 AY4:AY6 AV4:AV6 AS4:AS6 AP4:AP6 AM4:AM6 AJ4:AJ6 AG4:AG6 AD4:AD6 AA4:AA6 L4:L6 DY4:DY6 DV4:DV6 DS4:DS6 DP4:DP6 DM4:DM6 DJ4:DJ6 DG4:DG6 DD4:DD6 DA4:DA6 CX4:CX6 CX10 DA10 DD10 DG10 DJ10 DM10 DP10 DS10 DV10 DY10 L10 AA10 AD10 AG10 AJ10 AM10 AP10 AS10 AV10 AY10 BB10 BE10 BH10 BK10 BN10 BQ10 BT10 BW10 BZ10 CC10 CF10 CI10 CL10 CO10 CR10 CU10 O10 R10 U10 X10">
    <cfRule type="cellIs" dxfId="69" priority="462" stopIfTrue="1" operator="equal">
      <formula>"Pending"</formula>
    </cfRule>
    <cfRule type="cellIs" dxfId="68" priority="462" stopIfTrue="1" operator="equal">
      <formula>"In Progress"</formula>
    </cfRule>
    <cfRule type="cellIs" dxfId="67" priority="462" stopIfTrue="1" operator="equal">
      <formula>"Complete"</formula>
    </cfRule>
  </conditionalFormatting>
  <conditionalFormatting sqref="G4:G6 G10">
    <cfRule type="cellIs" dxfId="66" priority="465" stopIfTrue="1" operator="equal">
      <formula>"Complete"</formula>
    </cfRule>
    <cfRule type="cellIs" dxfId="65" priority="465" stopIfTrue="1" operator="equal">
      <formula>"In Progress"</formula>
    </cfRule>
    <cfRule type="cellIs" dxfId="64" priority="465" stopIfTrue="1" operator="equal">
      <formula>"Pending"</formula>
    </cfRule>
  </conditionalFormatting>
  <conditionalFormatting sqref="CY7 DB7 DE7 DH7 DK7 DN7 DQ7 DT7 DW7 CV7 CJ7 Y7 AT7 AW7 BO7 BR7 CD7 CG7 CM7 CP7 CS7 AB7 M7 P7 S7 V7 AE7 AH7 AK7 AN7 AQ7 AZ7 BC7 BF7 BI7 BL7 BU7 BX7 CA7">
    <cfRule type="expression" dxfId="63" priority="-1" stopIfTrue="1">
      <formula>MOD(ROW(),2)</formula>
    </cfRule>
    <cfRule type="expression" dxfId="62" priority="23" stopIfTrue="1">
      <formula>M$1=TODAY()+DailyScrumDateModifier</formula>
    </cfRule>
  </conditionalFormatting>
  <conditionalFormatting sqref="CZ7 DC7 DF7 DI7 DL7 DO7 DR7 DU7 DX7 CW7 BV7 Q7 CK7 W7 Z7 AC7 AF7 AI7 AL7 AO7 AR7 AU7 AX7 BA7 BD7 BG7 BJ7 BM7 BP7 BS7 N7 BY7 CB7 CE7 CH7 T7 CN7 CQ7 CT7 K7">
    <cfRule type="expression" dxfId="61" priority="-1" stopIfTrue="1">
      <formula>MOD(ROW(),2)</formula>
    </cfRule>
    <cfRule type="expression" dxfId="60" priority="24" stopIfTrue="1">
      <formula>J$1=TODAY()+DailyScrumDateModifier</formula>
    </cfRule>
  </conditionalFormatting>
  <conditionalFormatting sqref="I7:J7 A7:E7 EA7">
    <cfRule type="expression" dxfId="59" priority="25" stopIfTrue="1">
      <formula>MOD(ROW(),2)</formula>
    </cfRule>
  </conditionalFormatting>
  <conditionalFormatting sqref="CX7 DA7 DD7 DG7 DJ7 DM7 DP7 DS7 DV7 DY7 L7 AA7 AD7 AG7 AJ7 AM7 AP7 AS7 AV7 AY7 BB7 BE7 BH7 BK7 BN7 BQ7 BT7 BW7 BZ7 CC7 CF7 CI7 CL7 CO7 CR7 CU7 O7 R7 U7 X7">
    <cfRule type="cellIs" dxfId="58" priority="-1" stopIfTrue="1" operator="equal">
      <formula>"In Progress"</formula>
    </cfRule>
    <cfRule type="cellIs" dxfId="57" priority="-1" stopIfTrue="1" operator="equal">
      <formula>"Complete"</formula>
    </cfRule>
    <cfRule type="cellIs" dxfId="56" priority="26" stopIfTrue="1" operator="equal">
      <formula>"Pending"</formula>
    </cfRule>
  </conditionalFormatting>
  <conditionalFormatting sqref="G7">
    <cfRule type="cellIs" dxfId="55" priority="-1" stopIfTrue="1" operator="equal">
      <formula>"In Progress"</formula>
    </cfRule>
    <cfRule type="cellIs" dxfId="54" priority="-1" stopIfTrue="1" operator="equal">
      <formula>"Pending"</formula>
    </cfRule>
    <cfRule type="cellIs" dxfId="53" priority="27" stopIfTrue="1" operator="equal">
      <formula>"Complete"</formula>
    </cfRule>
  </conditionalFormatting>
  <conditionalFormatting sqref="CY8 DB8 DE8 DH8 DK8 DN8 DQ8 DT8 DW8 CV8 CJ8 Y8 AT8 AW8 BO8 BR8 CD8 CG8 CM8 CP8 CS8 AB8 M8 P8 S8 V8 AE8 AH8 AK8 AN8 AQ8 AZ8 BC8 BF8 BI8 BL8 BU8 BX8 CA8">
    <cfRule type="expression" dxfId="52" priority="-1" stopIfTrue="1">
      <formula>MOD(ROW(),2)</formula>
    </cfRule>
    <cfRule type="expression" dxfId="51" priority="12" stopIfTrue="1">
      <formula>M$1=TODAY()+DailyScrumDateModifier</formula>
    </cfRule>
  </conditionalFormatting>
  <conditionalFormatting sqref="CZ8 DC8 DF8 DI8 DL8 DO8 DR8 DU8 DX8 CW8 BV8 Q8 CK8 W8 Z8 AC8 AF8 AI8 AL8 AO8 AR8 AU8 AX8 BA8 BD8 BG8 BJ8 BM8 BP8 BS8 N8 BY8 CB8 CE8 CH8 T8 CN8 CQ8 CT8 K8">
    <cfRule type="expression" dxfId="50" priority="-1" stopIfTrue="1">
      <formula>MOD(ROW(),2)</formula>
    </cfRule>
    <cfRule type="expression" dxfId="49" priority="13" stopIfTrue="1">
      <formula>J$1=TODAY()+DailyScrumDateModifier</formula>
    </cfRule>
  </conditionalFormatting>
  <conditionalFormatting sqref="I8:J8 A8:E8 EA8">
    <cfRule type="expression" dxfId="48" priority="14" stopIfTrue="1">
      <formula>MOD(ROW(),2)</formula>
    </cfRule>
  </conditionalFormatting>
  <conditionalFormatting sqref="CX8 DA8 DD8 DG8 DJ8 DM8 DP8 DS8 DV8 DY8 L8 AA8 AD8 AG8 AJ8 AM8 AP8 AS8 AV8 AY8 BB8 BE8 BH8 BK8 BN8 BQ8 BT8 BW8 BZ8 CC8 CF8 CI8 CL8 CO8 CR8 CU8 O8 R8 U8 X8">
    <cfRule type="cellIs" dxfId="47" priority="-1" stopIfTrue="1" operator="equal">
      <formula>"In Progress"</formula>
    </cfRule>
    <cfRule type="cellIs" dxfId="46" priority="-1" stopIfTrue="1" operator="equal">
      <formula>"Complete"</formula>
    </cfRule>
    <cfRule type="cellIs" dxfId="45" priority="15" stopIfTrue="1" operator="equal">
      <formula>"Pending"</formula>
    </cfRule>
  </conditionalFormatting>
  <conditionalFormatting sqref="G8">
    <cfRule type="cellIs" dxfId="44" priority="-1" stopIfTrue="1" operator="equal">
      <formula>"In Progress"</formula>
    </cfRule>
    <cfRule type="cellIs" dxfId="43" priority="-1" stopIfTrue="1" operator="equal">
      <formula>"Pending"</formula>
    </cfRule>
    <cfRule type="cellIs" dxfId="42" priority="16" stopIfTrue="1" operator="equal">
      <formula>"Complete"</formula>
    </cfRule>
  </conditionalFormatting>
  <conditionalFormatting sqref="CY9 DB9 DE9 DH9 DK9 DN9 DQ9 DT9 DW9 CV9 CJ9 Y9 AT9 AW9 BO9 BR9 CD9 CG9 CM9 CP9 CS9 AB9 M9 P9 S9 V9 AE9 AH9 AK9 AN9 AQ9 AZ9 BC9 BF9 BI9 BL9 BU9 BX9 CA9">
    <cfRule type="expression" dxfId="10" priority="1" stopIfTrue="1">
      <formula>M$1=TODAY()+DailyScrumDateModifier</formula>
    </cfRule>
    <cfRule type="expression" dxfId="9" priority="-1" stopIfTrue="1">
      <formula>MOD(ROW(),2)</formula>
    </cfRule>
  </conditionalFormatting>
  <conditionalFormatting sqref="CZ9 DC9 DF9 DI9 DL9 DO9 DR9 DU9 DX9 CW9 BV9 Q9 CK9 W9 Z9 AC9 AF9 AI9 AL9 AO9 AR9 AU9 AX9 BA9 BD9 BG9 BJ9 BM9 BP9 BS9 N9 BY9 CB9 CE9 CH9 T9 CN9 CQ9 CT9 K9">
    <cfRule type="expression" dxfId="8" priority="2" stopIfTrue="1">
      <formula>J$1=TODAY()+DailyScrumDateModifier</formula>
    </cfRule>
    <cfRule type="expression" dxfId="7" priority="-1" stopIfTrue="1">
      <formula>MOD(ROW(),2)</formula>
    </cfRule>
  </conditionalFormatting>
  <conditionalFormatting sqref="I9:J9 A9:E9 EA9">
    <cfRule type="expression" dxfId="6" priority="3" stopIfTrue="1">
      <formula>MOD(ROW(),2)</formula>
    </cfRule>
  </conditionalFormatting>
  <conditionalFormatting sqref="CX9 DA9 DD9 DG9 DJ9 DM9 DP9 DS9 DV9 DY9 L9 AA9 AD9 AG9 AJ9 AM9 AP9 AS9 AV9 AY9 BB9 BE9 BH9 BK9 BN9 BQ9 BT9 BW9 BZ9 CC9 CF9 CI9 CL9 CO9 CR9 CU9 O9 R9 U9 X9">
    <cfRule type="cellIs" dxfId="5" priority="4" stopIfTrue="1" operator="equal">
      <formula>"Pending"</formula>
    </cfRule>
    <cfRule type="cellIs" dxfId="4" priority="-1" stopIfTrue="1" operator="equal">
      <formula>"In Progress"</formula>
    </cfRule>
    <cfRule type="cellIs" dxfId="3" priority="-1" stopIfTrue="1" operator="equal">
      <formula>"Complete"</formula>
    </cfRule>
  </conditionalFormatting>
  <conditionalFormatting sqref="G9">
    <cfRule type="cellIs" dxfId="2" priority="5" stopIfTrue="1" operator="equal">
      <formula>"Complete"</formula>
    </cfRule>
    <cfRule type="cellIs" dxfId="1" priority="-1" stopIfTrue="1" operator="equal">
      <formula>"In Progress"</formula>
    </cfRule>
    <cfRule type="cellIs" dxfId="0" priority="-1" stopIfTrue="1" operator="equal">
      <formula>"Pending"</formula>
    </cfRule>
  </conditionalFormatting>
  <dataValidations count="3">
    <dataValidation type="list" allowBlank="1" showInputMessage="1" showErrorMessage="1" sqref="A11:A16" xr:uid="{00000000-0002-0000-0000-000000000000}">
      <formula1>Worktype</formula1>
    </dataValidation>
    <dataValidation type="list" allowBlank="1" showInputMessage="1" showErrorMessage="1" sqref="B11:B16" xr:uid="{00000000-0002-0000-0000-000001000000}">
      <formula1>Deliverable</formula1>
    </dataValidation>
    <dataValidation type="list" allowBlank="1" showInputMessage="1" showErrorMessage="1" sqref="F4:F10" xr:uid="{00000000-0002-0000-0000-000002000000}">
      <formula1>Members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4" r:id="rId4" name="BtnInsertNewLineAtEnd">
          <controlPr defaultSize="0" autoLine="0" r:id="rId5">
            <anchor moveWithCells="1">
              <from>
                <xdr:col>2</xdr:col>
                <xdr:colOff>965200</xdr:colOff>
                <xdr:row>1</xdr:row>
                <xdr:rowOff>31750</xdr:rowOff>
              </from>
              <to>
                <xdr:col>4</xdr:col>
                <xdr:colOff>127000</xdr:colOff>
                <xdr:row>2</xdr:row>
                <xdr:rowOff>127000</xdr:rowOff>
              </to>
            </anchor>
          </controlPr>
        </control>
      </mc:Choice>
      <mc:Fallback>
        <control shapeId="6274" r:id="rId4" name="BtnInsertNewLineAtEnd"/>
      </mc:Fallback>
    </mc:AlternateContent>
    <mc:AlternateContent xmlns:mc="http://schemas.openxmlformats.org/markup-compatibility/2006">
      <mc:Choice Requires="x14">
        <control shapeId="6275" r:id="rId6" name="BtnInsertNewLine">
          <controlPr defaultSize="0" autoLine="0" r:id="rId7">
            <anchor moveWithCells="1">
              <from>
                <xdr:col>2</xdr:col>
                <xdr:colOff>69850</xdr:colOff>
                <xdr:row>1</xdr:row>
                <xdr:rowOff>31750</xdr:rowOff>
              </from>
              <to>
                <xdr:col>2</xdr:col>
                <xdr:colOff>1130300</xdr:colOff>
                <xdr:row>2</xdr:row>
                <xdr:rowOff>139700</xdr:rowOff>
              </to>
            </anchor>
          </controlPr>
        </control>
      </mc:Choice>
      <mc:Fallback>
        <control shapeId="6275" r:id="rId6" name="BtnInsertNewLin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3000000}">
          <x14:formula1>
            <xm:f>'Project Specific Reports'!$A$3:$A$6</xm:f>
          </x14:formula1>
          <xm:sqref>A4:A10</xm:sqref>
        </x14:dataValidation>
        <x14:dataValidation type="list" allowBlank="1" showInputMessage="1" showErrorMessage="1" xr:uid="{00000000-0002-0000-0000-000004000000}">
          <x14:formula1>
            <xm:f>'Project Specific Reports'!$A$10:$A$25</xm:f>
          </x14:formula1>
          <xm:sqref>B4:B10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51"/>
  <sheetViews>
    <sheetView workbookViewId="0">
      <selection activeCell="S23" sqref="S23"/>
    </sheetView>
  </sheetViews>
  <sheetFormatPr defaultColWidth="9.08984375" defaultRowHeight="12.5" x14ac:dyDescent="0.25"/>
  <cols>
    <col min="1" max="1" width="9.08984375" style="1"/>
    <col min="2" max="2" width="9.453125" style="1" customWidth="1"/>
    <col min="3" max="4" width="9.08984375" style="1"/>
    <col min="5" max="28" width="9.36328125" style="1" bestFit="1" customWidth="1"/>
    <col min="29" max="29" width="9.6328125" style="1" customWidth="1"/>
    <col min="30" max="34" width="9.36328125" style="1" bestFit="1" customWidth="1"/>
    <col min="35" max="16384" width="9.08984375" style="1"/>
  </cols>
  <sheetData>
    <row r="1" spans="1:1" x14ac:dyDescent="0.25">
      <c r="A1" s="131"/>
    </row>
    <row r="19" spans="1:44" x14ac:dyDescent="0.25">
      <c r="A19" s="132" t="str">
        <f>IF(SkipWeekends, "Working Day", "Calendar Day")</f>
        <v>Calendar Day</v>
      </c>
      <c r="B19" s="133"/>
      <c r="C19" s="134"/>
      <c r="D19" s="135"/>
      <c r="E19" s="134">
        <v>1</v>
      </c>
      <c r="F19" s="134">
        <v>2</v>
      </c>
      <c r="G19" s="134">
        <v>3</v>
      </c>
      <c r="H19" s="134">
        <v>4</v>
      </c>
      <c r="I19" s="134">
        <v>5</v>
      </c>
      <c r="J19" s="134">
        <v>6</v>
      </c>
      <c r="K19" s="134">
        <v>7</v>
      </c>
      <c r="L19" s="134">
        <v>8</v>
      </c>
      <c r="M19" s="134">
        <v>9</v>
      </c>
      <c r="N19" s="134">
        <v>10</v>
      </c>
      <c r="O19" s="134">
        <v>11</v>
      </c>
      <c r="P19" s="134">
        <v>12</v>
      </c>
      <c r="Q19" s="134">
        <v>13</v>
      </c>
      <c r="R19" s="134">
        <v>14</v>
      </c>
      <c r="S19" s="134">
        <v>15</v>
      </c>
      <c r="T19" s="134">
        <v>16</v>
      </c>
      <c r="U19" s="134">
        <v>17</v>
      </c>
      <c r="V19" s="134">
        <v>18</v>
      </c>
      <c r="W19" s="134">
        <v>19</v>
      </c>
      <c r="X19" s="134">
        <v>20</v>
      </c>
      <c r="Y19" s="134">
        <v>21</v>
      </c>
      <c r="Z19" s="134">
        <v>22</v>
      </c>
      <c r="AA19" s="134">
        <v>23</v>
      </c>
      <c r="AB19" s="134">
        <v>24</v>
      </c>
      <c r="AC19" s="134">
        <v>25</v>
      </c>
      <c r="AD19" s="134">
        <v>26</v>
      </c>
      <c r="AE19" s="134">
        <v>27</v>
      </c>
      <c r="AF19" s="134">
        <v>28</v>
      </c>
      <c r="AG19" s="134">
        <v>29</v>
      </c>
      <c r="AH19" s="135">
        <v>30</v>
      </c>
      <c r="AI19" s="136">
        <v>31</v>
      </c>
      <c r="AJ19" s="136">
        <v>32</v>
      </c>
      <c r="AK19" s="136">
        <v>33</v>
      </c>
      <c r="AL19" s="136">
        <v>34</v>
      </c>
      <c r="AM19" s="136">
        <v>35</v>
      </c>
      <c r="AN19" s="136">
        <v>36</v>
      </c>
      <c r="AO19" s="136">
        <v>37</v>
      </c>
      <c r="AP19" s="136">
        <v>38</v>
      </c>
      <c r="AQ19" s="136">
        <v>39</v>
      </c>
      <c r="AR19" s="136">
        <v>40</v>
      </c>
    </row>
    <row r="20" spans="1:44" x14ac:dyDescent="0.25">
      <c r="A20" s="132" t="s">
        <v>22</v>
      </c>
      <c r="B20" s="133"/>
      <c r="C20" s="134"/>
      <c r="D20" s="135"/>
      <c r="E20" s="137">
        <f t="shared" ref="E20:AR20" si="0">INDEX(SprintDates,1,(E19-1)*BurndownColumns+1)</f>
        <v>43076</v>
      </c>
      <c r="F20" s="137">
        <f t="shared" si="0"/>
        <v>43077</v>
      </c>
      <c r="G20" s="137">
        <f t="shared" si="0"/>
        <v>43078</v>
      </c>
      <c r="H20" s="137">
        <f t="shared" si="0"/>
        <v>43079</v>
      </c>
      <c r="I20" s="137">
        <f t="shared" si="0"/>
        <v>43080</v>
      </c>
      <c r="J20" s="137">
        <f t="shared" si="0"/>
        <v>43081</v>
      </c>
      <c r="K20" s="137">
        <f t="shared" si="0"/>
        <v>43082</v>
      </c>
      <c r="L20" s="137">
        <f t="shared" si="0"/>
        <v>43083</v>
      </c>
      <c r="M20" s="137">
        <f t="shared" si="0"/>
        <v>43084</v>
      </c>
      <c r="N20" s="137">
        <f t="shared" si="0"/>
        <v>43085</v>
      </c>
      <c r="O20" s="137">
        <f t="shared" si="0"/>
        <v>43086</v>
      </c>
      <c r="P20" s="137">
        <f t="shared" si="0"/>
        <v>43087</v>
      </c>
      <c r="Q20" s="137">
        <f t="shared" si="0"/>
        <v>43088</v>
      </c>
      <c r="R20" s="137">
        <f t="shared" si="0"/>
        <v>43089</v>
      </c>
      <c r="S20" s="137">
        <f t="shared" si="0"/>
        <v>43090</v>
      </c>
      <c r="T20" s="137">
        <f t="shared" si="0"/>
        <v>43091</v>
      </c>
      <c r="U20" s="137">
        <f t="shared" si="0"/>
        <v>43092</v>
      </c>
      <c r="V20" s="137">
        <f t="shared" si="0"/>
        <v>43093</v>
      </c>
      <c r="W20" s="137">
        <f t="shared" si="0"/>
        <v>43094</v>
      </c>
      <c r="X20" s="137">
        <f t="shared" si="0"/>
        <v>43095</v>
      </c>
      <c r="Y20" s="137">
        <f t="shared" si="0"/>
        <v>43096</v>
      </c>
      <c r="Z20" s="137">
        <f t="shared" si="0"/>
        <v>43097</v>
      </c>
      <c r="AA20" s="137">
        <f t="shared" si="0"/>
        <v>43098</v>
      </c>
      <c r="AB20" s="137">
        <f t="shared" si="0"/>
        <v>43099</v>
      </c>
      <c r="AC20" s="137">
        <f t="shared" si="0"/>
        <v>43100</v>
      </c>
      <c r="AD20" s="137">
        <f t="shared" si="0"/>
        <v>43101</v>
      </c>
      <c r="AE20" s="137">
        <f t="shared" si="0"/>
        <v>43102</v>
      </c>
      <c r="AF20" s="137">
        <f t="shared" si="0"/>
        <v>43103</v>
      </c>
      <c r="AG20" s="137">
        <f t="shared" si="0"/>
        <v>43104</v>
      </c>
      <c r="AH20" s="138">
        <f t="shared" si="0"/>
        <v>43105</v>
      </c>
      <c r="AI20" s="139">
        <f t="shared" si="0"/>
        <v>43106</v>
      </c>
      <c r="AJ20" s="139">
        <f t="shared" si="0"/>
        <v>43107</v>
      </c>
      <c r="AK20" s="139">
        <f t="shared" si="0"/>
        <v>43108</v>
      </c>
      <c r="AL20" s="139">
        <f t="shared" si="0"/>
        <v>43109</v>
      </c>
      <c r="AM20" s="139">
        <f t="shared" si="0"/>
        <v>43110</v>
      </c>
      <c r="AN20" s="139">
        <f t="shared" si="0"/>
        <v>43111</v>
      </c>
      <c r="AO20" s="139">
        <f t="shared" si="0"/>
        <v>43112</v>
      </c>
      <c r="AP20" s="139">
        <f t="shared" si="0"/>
        <v>43113</v>
      </c>
      <c r="AQ20" s="139">
        <f t="shared" si="0"/>
        <v>43114</v>
      </c>
      <c r="AR20" s="139">
        <f t="shared" si="0"/>
        <v>43115</v>
      </c>
    </row>
    <row r="21" spans="1:44" x14ac:dyDescent="0.25">
      <c r="A21" s="132"/>
      <c r="B21" s="133"/>
      <c r="C21" s="134"/>
      <c r="D21" s="13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8"/>
      <c r="AI21" s="139"/>
      <c r="AJ21" s="139"/>
      <c r="AK21" s="139"/>
      <c r="AL21" s="139"/>
      <c r="AM21" s="139"/>
      <c r="AN21" s="139"/>
      <c r="AO21" s="139"/>
      <c r="AP21" s="139"/>
      <c r="AQ21" s="139"/>
      <c r="AR21" s="139"/>
    </row>
    <row r="22" spans="1:44" x14ac:dyDescent="0.25">
      <c r="A22" s="132" t="s">
        <v>9</v>
      </c>
      <c r="B22" s="134"/>
      <c r="C22" s="140"/>
      <c r="D22" s="141"/>
      <c r="E22" s="134">
        <f t="shared" ref="E22:AR22" ca="1" si="1">IF(E20&gt;TODAY(), #N/A, SUM(INDEX(Burndown,,(E19-1)*BurndownColumns+HoursLeftColumn)))</f>
        <v>26</v>
      </c>
      <c r="F22" s="134">
        <f t="shared" ca="1" si="1"/>
        <v>25</v>
      </c>
      <c r="G22" s="134">
        <f t="shared" ca="1" si="1"/>
        <v>22</v>
      </c>
      <c r="H22" s="134">
        <f t="shared" ca="1" si="1"/>
        <v>22</v>
      </c>
      <c r="I22" s="134">
        <f t="shared" ca="1" si="1"/>
        <v>17</v>
      </c>
      <c r="J22" s="134">
        <f t="shared" ca="1" si="1"/>
        <v>16</v>
      </c>
      <c r="K22" s="134" t="e">
        <f t="shared" ca="1" si="1"/>
        <v>#N/A</v>
      </c>
      <c r="L22" s="134" t="e">
        <f t="shared" ca="1" si="1"/>
        <v>#N/A</v>
      </c>
      <c r="M22" s="134" t="e">
        <f t="shared" ca="1" si="1"/>
        <v>#N/A</v>
      </c>
      <c r="N22" s="134" t="e">
        <f t="shared" ca="1" si="1"/>
        <v>#N/A</v>
      </c>
      <c r="O22" s="134" t="e">
        <f t="shared" ca="1" si="1"/>
        <v>#N/A</v>
      </c>
      <c r="P22" s="134" t="e">
        <f t="shared" ca="1" si="1"/>
        <v>#N/A</v>
      </c>
      <c r="Q22" s="134" t="e">
        <f t="shared" ca="1" si="1"/>
        <v>#N/A</v>
      </c>
      <c r="R22" s="134" t="e">
        <f t="shared" ca="1" si="1"/>
        <v>#N/A</v>
      </c>
      <c r="S22" s="134" t="e">
        <f t="shared" ca="1" si="1"/>
        <v>#N/A</v>
      </c>
      <c r="T22" s="134" t="e">
        <f t="shared" ca="1" si="1"/>
        <v>#N/A</v>
      </c>
      <c r="U22" s="134" t="e">
        <f t="shared" ca="1" si="1"/>
        <v>#N/A</v>
      </c>
      <c r="V22" s="134" t="e">
        <f t="shared" ca="1" si="1"/>
        <v>#N/A</v>
      </c>
      <c r="W22" s="134" t="e">
        <f t="shared" ca="1" si="1"/>
        <v>#N/A</v>
      </c>
      <c r="X22" s="134" t="e">
        <f t="shared" ca="1" si="1"/>
        <v>#N/A</v>
      </c>
      <c r="Y22" s="134" t="e">
        <f t="shared" ca="1" si="1"/>
        <v>#N/A</v>
      </c>
      <c r="Z22" s="134" t="e">
        <f t="shared" ca="1" si="1"/>
        <v>#N/A</v>
      </c>
      <c r="AA22" s="134" t="e">
        <f t="shared" ca="1" si="1"/>
        <v>#N/A</v>
      </c>
      <c r="AB22" s="134" t="e">
        <f t="shared" ca="1" si="1"/>
        <v>#N/A</v>
      </c>
      <c r="AC22" s="134" t="e">
        <f t="shared" ca="1" si="1"/>
        <v>#N/A</v>
      </c>
      <c r="AD22" s="134" t="e">
        <f t="shared" ca="1" si="1"/>
        <v>#N/A</v>
      </c>
      <c r="AE22" s="134" t="e">
        <f t="shared" ca="1" si="1"/>
        <v>#N/A</v>
      </c>
      <c r="AF22" s="134" t="e">
        <f t="shared" ca="1" si="1"/>
        <v>#N/A</v>
      </c>
      <c r="AG22" s="134" t="e">
        <f t="shared" ca="1" si="1"/>
        <v>#N/A</v>
      </c>
      <c r="AH22" s="135" t="e">
        <f t="shared" ca="1" si="1"/>
        <v>#N/A</v>
      </c>
      <c r="AI22" s="136" t="e">
        <f t="shared" ca="1" si="1"/>
        <v>#N/A</v>
      </c>
      <c r="AJ22" s="136" t="e">
        <f t="shared" ca="1" si="1"/>
        <v>#N/A</v>
      </c>
      <c r="AK22" s="136" t="e">
        <f t="shared" ca="1" si="1"/>
        <v>#N/A</v>
      </c>
      <c r="AL22" s="136" t="e">
        <f t="shared" ca="1" si="1"/>
        <v>#N/A</v>
      </c>
      <c r="AM22" s="136" t="e">
        <f t="shared" ca="1" si="1"/>
        <v>#N/A</v>
      </c>
      <c r="AN22" s="136" t="e">
        <f t="shared" ca="1" si="1"/>
        <v>#N/A</v>
      </c>
      <c r="AO22" s="136" t="e">
        <f t="shared" ca="1" si="1"/>
        <v>#N/A</v>
      </c>
      <c r="AP22" s="136" t="e">
        <f t="shared" ca="1" si="1"/>
        <v>#N/A</v>
      </c>
      <c r="AQ22" s="136" t="e">
        <f t="shared" ca="1" si="1"/>
        <v>#N/A</v>
      </c>
      <c r="AR22" s="136" t="e">
        <f t="shared" ca="1" si="1"/>
        <v>#N/A</v>
      </c>
    </row>
    <row r="23" spans="1:44" x14ac:dyDescent="0.25">
      <c r="A23" s="142" t="s">
        <v>21</v>
      </c>
      <c r="B23" s="140"/>
      <c r="C23" s="140"/>
      <c r="D23" s="141"/>
      <c r="E23" s="135">
        <f t="shared" ref="E23:AR23" ca="1" si="2">IF(E20&gt;TODAY(), #N/A, SUM(INDEX(Burndown,,(E19-1)*BurndownColumns+HoursSpentColumn)))</f>
        <v>5</v>
      </c>
      <c r="F23" s="135">
        <f t="shared" ca="1" si="2"/>
        <v>1</v>
      </c>
      <c r="G23" s="135">
        <f t="shared" ca="1" si="2"/>
        <v>3</v>
      </c>
      <c r="H23" s="135">
        <f t="shared" ca="1" si="2"/>
        <v>0</v>
      </c>
      <c r="I23" s="135">
        <f t="shared" ca="1" si="2"/>
        <v>5</v>
      </c>
      <c r="J23" s="135">
        <f t="shared" ca="1" si="2"/>
        <v>1</v>
      </c>
      <c r="K23" s="135" t="e">
        <f t="shared" ca="1" si="2"/>
        <v>#N/A</v>
      </c>
      <c r="L23" s="135" t="e">
        <f t="shared" ca="1" si="2"/>
        <v>#N/A</v>
      </c>
      <c r="M23" s="135" t="e">
        <f t="shared" ca="1" si="2"/>
        <v>#N/A</v>
      </c>
      <c r="N23" s="135" t="e">
        <f t="shared" ca="1" si="2"/>
        <v>#N/A</v>
      </c>
      <c r="O23" s="135" t="e">
        <f t="shared" ca="1" si="2"/>
        <v>#N/A</v>
      </c>
      <c r="P23" s="135" t="e">
        <f t="shared" ca="1" si="2"/>
        <v>#N/A</v>
      </c>
      <c r="Q23" s="135" t="e">
        <f t="shared" ca="1" si="2"/>
        <v>#N/A</v>
      </c>
      <c r="R23" s="135" t="e">
        <f t="shared" ca="1" si="2"/>
        <v>#N/A</v>
      </c>
      <c r="S23" s="135" t="e">
        <f t="shared" ca="1" si="2"/>
        <v>#N/A</v>
      </c>
      <c r="T23" s="135" t="e">
        <f t="shared" ca="1" si="2"/>
        <v>#N/A</v>
      </c>
      <c r="U23" s="135" t="e">
        <f t="shared" ca="1" si="2"/>
        <v>#N/A</v>
      </c>
      <c r="V23" s="135" t="e">
        <f t="shared" ca="1" si="2"/>
        <v>#N/A</v>
      </c>
      <c r="W23" s="135" t="e">
        <f t="shared" ca="1" si="2"/>
        <v>#N/A</v>
      </c>
      <c r="X23" s="135" t="e">
        <f t="shared" ca="1" si="2"/>
        <v>#N/A</v>
      </c>
      <c r="Y23" s="135" t="e">
        <f t="shared" ca="1" si="2"/>
        <v>#N/A</v>
      </c>
      <c r="Z23" s="135" t="e">
        <f t="shared" ca="1" si="2"/>
        <v>#N/A</v>
      </c>
      <c r="AA23" s="135" t="e">
        <f t="shared" ca="1" si="2"/>
        <v>#N/A</v>
      </c>
      <c r="AB23" s="135" t="e">
        <f t="shared" ca="1" si="2"/>
        <v>#N/A</v>
      </c>
      <c r="AC23" s="135" t="e">
        <f t="shared" ca="1" si="2"/>
        <v>#N/A</v>
      </c>
      <c r="AD23" s="135" t="e">
        <f t="shared" ca="1" si="2"/>
        <v>#N/A</v>
      </c>
      <c r="AE23" s="135" t="e">
        <f t="shared" ca="1" si="2"/>
        <v>#N/A</v>
      </c>
      <c r="AF23" s="135" t="e">
        <f t="shared" ca="1" si="2"/>
        <v>#N/A</v>
      </c>
      <c r="AG23" s="135" t="e">
        <f t="shared" ca="1" si="2"/>
        <v>#N/A</v>
      </c>
      <c r="AH23" s="135" t="e">
        <f t="shared" ca="1" si="2"/>
        <v>#N/A</v>
      </c>
      <c r="AI23" s="136" t="e">
        <f t="shared" ca="1" si="2"/>
        <v>#N/A</v>
      </c>
      <c r="AJ23" s="136" t="e">
        <f t="shared" ca="1" si="2"/>
        <v>#N/A</v>
      </c>
      <c r="AK23" s="136" t="e">
        <f t="shared" ca="1" si="2"/>
        <v>#N/A</v>
      </c>
      <c r="AL23" s="136" t="e">
        <f t="shared" ca="1" si="2"/>
        <v>#N/A</v>
      </c>
      <c r="AM23" s="136" t="e">
        <f t="shared" ca="1" si="2"/>
        <v>#N/A</v>
      </c>
      <c r="AN23" s="136" t="e">
        <f t="shared" ca="1" si="2"/>
        <v>#N/A</v>
      </c>
      <c r="AO23" s="136" t="e">
        <f t="shared" ca="1" si="2"/>
        <v>#N/A</v>
      </c>
      <c r="AP23" s="136" t="e">
        <f t="shared" ca="1" si="2"/>
        <v>#N/A</v>
      </c>
      <c r="AQ23" s="136" t="e">
        <f t="shared" ca="1" si="2"/>
        <v>#N/A</v>
      </c>
      <c r="AR23" s="136" t="e">
        <f t="shared" ca="1" si="2"/>
        <v>#N/A</v>
      </c>
    </row>
    <row r="24" spans="1:44" x14ac:dyDescent="0.25">
      <c r="A24" s="142" t="s">
        <v>4</v>
      </c>
      <c r="B24" s="140"/>
      <c r="C24" s="140"/>
      <c r="D24" s="141"/>
      <c r="E24" s="135">
        <f ca="1">IF(E20&gt;TODAY(), #N/A, SUM($E23:E23))</f>
        <v>5</v>
      </c>
      <c r="F24" s="135">
        <f ca="1">IF(F20&gt;TODAY(), #N/A, SUM($E23:F23))</f>
        <v>6</v>
      </c>
      <c r="G24" s="135">
        <f ca="1">IF(G20&gt;TODAY(), #N/A, SUM($E23:G23))</f>
        <v>9</v>
      </c>
      <c r="H24" s="135">
        <f ca="1">IF(H20&gt;TODAY(), #N/A, SUM($E23:H23))</f>
        <v>9</v>
      </c>
      <c r="I24" s="135">
        <f ca="1">IF(I20&gt;TODAY(), #N/A, SUM($E23:I23))</f>
        <v>14</v>
      </c>
      <c r="J24" s="135">
        <f ca="1">IF(J20&gt;TODAY(), #N/A, SUM($E23:J23))</f>
        <v>15</v>
      </c>
      <c r="K24" s="135" t="e">
        <f ca="1">IF(K20&gt;TODAY(), #N/A, SUM($E23:K23))</f>
        <v>#N/A</v>
      </c>
      <c r="L24" s="135" t="e">
        <f ca="1">IF(L20&gt;TODAY(), #N/A, SUM($E23:L23))</f>
        <v>#N/A</v>
      </c>
      <c r="M24" s="135" t="e">
        <f ca="1">IF(M20&gt;TODAY(), #N/A, SUM($E23:M23))</f>
        <v>#N/A</v>
      </c>
      <c r="N24" s="135" t="e">
        <f ca="1">IF(N20&gt;TODAY(), #N/A, SUM($E23:N23))</f>
        <v>#N/A</v>
      </c>
      <c r="O24" s="135" t="e">
        <f ca="1">IF(O20&gt;TODAY(), #N/A, SUM($E23:O23))</f>
        <v>#N/A</v>
      </c>
      <c r="P24" s="135" t="e">
        <f ca="1">IF(P20&gt;TODAY(), #N/A, SUM($E23:P23))</f>
        <v>#N/A</v>
      </c>
      <c r="Q24" s="135" t="e">
        <f ca="1">IF(Q20&gt;TODAY(), #N/A, SUM($E23:Q23))</f>
        <v>#N/A</v>
      </c>
      <c r="R24" s="135" t="e">
        <f ca="1">IF(R20&gt;TODAY(), #N/A, SUM($E23:R23))</f>
        <v>#N/A</v>
      </c>
      <c r="S24" s="135" t="e">
        <f ca="1">IF(S20&gt;TODAY(), #N/A, SUM($E23:S23))</f>
        <v>#N/A</v>
      </c>
      <c r="T24" s="135" t="e">
        <f ca="1">IF(T20&gt;TODAY(), #N/A, SUM($E23:T23))</f>
        <v>#N/A</v>
      </c>
      <c r="U24" s="135" t="e">
        <f ca="1">IF(U20&gt;TODAY(), #N/A, SUM($E23:U23))</f>
        <v>#N/A</v>
      </c>
      <c r="V24" s="135" t="e">
        <f ca="1">IF(V20&gt;TODAY(), #N/A, SUM($E23:V23))</f>
        <v>#N/A</v>
      </c>
      <c r="W24" s="135" t="e">
        <f ca="1">IF(W20&gt;TODAY(), #N/A, SUM($E23:W23))</f>
        <v>#N/A</v>
      </c>
      <c r="X24" s="135" t="e">
        <f ca="1">IF(X20&gt;TODAY(), #N/A, SUM($E23:X23))</f>
        <v>#N/A</v>
      </c>
      <c r="Y24" s="135" t="e">
        <f ca="1">IF(Y20&gt;TODAY(), #N/A, SUM($E23:Y23))</f>
        <v>#N/A</v>
      </c>
      <c r="Z24" s="135" t="e">
        <f ca="1">IF(Z20&gt;TODAY(), #N/A, SUM($E23:Z23))</f>
        <v>#N/A</v>
      </c>
      <c r="AA24" s="135" t="e">
        <f ca="1">IF(AA20&gt;TODAY(), #N/A, SUM($E23:AA23))</f>
        <v>#N/A</v>
      </c>
      <c r="AB24" s="135" t="e">
        <f ca="1">IF(AB20&gt;TODAY(), #N/A, SUM($E23:AB23))</f>
        <v>#N/A</v>
      </c>
      <c r="AC24" s="135" t="e">
        <f ca="1">IF(AC20&gt;TODAY(), #N/A, SUM($E23:AC23))</f>
        <v>#N/A</v>
      </c>
      <c r="AD24" s="135" t="e">
        <f ca="1">IF(AD20&gt;TODAY(), #N/A, SUM($E23:AD23))</f>
        <v>#N/A</v>
      </c>
      <c r="AE24" s="135" t="e">
        <f ca="1">IF(AE20&gt;TODAY(), #N/A, SUM($E23:AE23))</f>
        <v>#N/A</v>
      </c>
      <c r="AF24" s="135" t="e">
        <f ca="1">IF(AF20&gt;TODAY(), #N/A, SUM($E23:AF23))</f>
        <v>#N/A</v>
      </c>
      <c r="AG24" s="135" t="e">
        <f ca="1">IF(AG20&gt;TODAY(), #N/A, SUM($E23:AG23))</f>
        <v>#N/A</v>
      </c>
      <c r="AH24" s="135" t="e">
        <f ca="1">IF(AH20&gt;TODAY(), #N/A, SUM($E23:AH23))</f>
        <v>#N/A</v>
      </c>
      <c r="AI24" s="136" t="e">
        <f ca="1">IF(AI20&gt;TODAY(), #N/A, SUM($E23:AI23))</f>
        <v>#N/A</v>
      </c>
      <c r="AJ24" s="136" t="e">
        <f ca="1">IF(AJ20&gt;TODAY(), #N/A, SUM($E23:AJ23))</f>
        <v>#N/A</v>
      </c>
      <c r="AK24" s="136" t="e">
        <f ca="1">IF(AK20&gt;TODAY(), #N/A, SUM($E23:AK23))</f>
        <v>#N/A</v>
      </c>
      <c r="AL24" s="136" t="e">
        <f ca="1">IF(AL20&gt;TODAY(), #N/A, SUM($E23:AL23))</f>
        <v>#N/A</v>
      </c>
      <c r="AM24" s="136" t="e">
        <f ca="1">IF(AM20&gt;TODAY(), #N/A, SUM($E23:AM23))</f>
        <v>#N/A</v>
      </c>
      <c r="AN24" s="136" t="e">
        <f ca="1">IF(AN20&gt;TODAY(), #N/A, SUM($E23:AN23))</f>
        <v>#N/A</v>
      </c>
      <c r="AO24" s="136" t="e">
        <f ca="1">IF(AO20&gt;TODAY(), #N/A, SUM($E23:AO23))</f>
        <v>#N/A</v>
      </c>
      <c r="AP24" s="136" t="e">
        <f ca="1">IF(AP20&gt;TODAY(), #N/A, SUM($E23:AP23))</f>
        <v>#N/A</v>
      </c>
      <c r="AQ24" s="136" t="e">
        <f ca="1">IF(AQ20&gt;TODAY(), #N/A, SUM($E23:AQ23))</f>
        <v>#N/A</v>
      </c>
      <c r="AR24" s="136" t="e">
        <f ca="1">IF(AR20&gt;TODAY(), #N/A, SUM($E23:AR23))</f>
        <v>#N/A</v>
      </c>
    </row>
    <row r="25" spans="1:44" x14ac:dyDescent="0.25">
      <c r="A25" s="142" t="s">
        <v>23</v>
      </c>
      <c r="B25" s="140"/>
      <c r="C25" s="140"/>
      <c r="D25" s="141"/>
      <c r="E25" s="135">
        <f t="shared" ref="E25:AR25" ca="1" si="3">IF(E20&gt;TODAY(), #N/A, E22+E24)</f>
        <v>31</v>
      </c>
      <c r="F25" s="135">
        <f t="shared" ca="1" si="3"/>
        <v>31</v>
      </c>
      <c r="G25" s="135">
        <f t="shared" ca="1" si="3"/>
        <v>31</v>
      </c>
      <c r="H25" s="135">
        <f t="shared" ca="1" si="3"/>
        <v>31</v>
      </c>
      <c r="I25" s="135">
        <f t="shared" ca="1" si="3"/>
        <v>31</v>
      </c>
      <c r="J25" s="135">
        <f t="shared" ca="1" si="3"/>
        <v>31</v>
      </c>
      <c r="K25" s="135" t="e">
        <f t="shared" ca="1" si="3"/>
        <v>#N/A</v>
      </c>
      <c r="L25" s="135" t="e">
        <f t="shared" ca="1" si="3"/>
        <v>#N/A</v>
      </c>
      <c r="M25" s="135" t="e">
        <f t="shared" ca="1" si="3"/>
        <v>#N/A</v>
      </c>
      <c r="N25" s="135" t="e">
        <f t="shared" ca="1" si="3"/>
        <v>#N/A</v>
      </c>
      <c r="O25" s="135" t="e">
        <f t="shared" ca="1" si="3"/>
        <v>#N/A</v>
      </c>
      <c r="P25" s="135" t="e">
        <f t="shared" ca="1" si="3"/>
        <v>#N/A</v>
      </c>
      <c r="Q25" s="135" t="e">
        <f t="shared" ca="1" si="3"/>
        <v>#N/A</v>
      </c>
      <c r="R25" s="135" t="e">
        <f t="shared" ca="1" si="3"/>
        <v>#N/A</v>
      </c>
      <c r="S25" s="135" t="e">
        <f t="shared" ca="1" si="3"/>
        <v>#N/A</v>
      </c>
      <c r="T25" s="135" t="e">
        <f t="shared" ca="1" si="3"/>
        <v>#N/A</v>
      </c>
      <c r="U25" s="135" t="e">
        <f t="shared" ca="1" si="3"/>
        <v>#N/A</v>
      </c>
      <c r="V25" s="135" t="e">
        <f t="shared" ca="1" si="3"/>
        <v>#N/A</v>
      </c>
      <c r="W25" s="135" t="e">
        <f t="shared" ca="1" si="3"/>
        <v>#N/A</v>
      </c>
      <c r="X25" s="135" t="e">
        <f t="shared" ca="1" si="3"/>
        <v>#N/A</v>
      </c>
      <c r="Y25" s="135" t="e">
        <f t="shared" ca="1" si="3"/>
        <v>#N/A</v>
      </c>
      <c r="Z25" s="135" t="e">
        <f t="shared" ca="1" si="3"/>
        <v>#N/A</v>
      </c>
      <c r="AA25" s="135" t="e">
        <f t="shared" ca="1" si="3"/>
        <v>#N/A</v>
      </c>
      <c r="AB25" s="135" t="e">
        <f t="shared" ca="1" si="3"/>
        <v>#N/A</v>
      </c>
      <c r="AC25" s="135" t="e">
        <f t="shared" ca="1" si="3"/>
        <v>#N/A</v>
      </c>
      <c r="AD25" s="135" t="e">
        <f t="shared" ca="1" si="3"/>
        <v>#N/A</v>
      </c>
      <c r="AE25" s="135" t="e">
        <f t="shared" ca="1" si="3"/>
        <v>#N/A</v>
      </c>
      <c r="AF25" s="135" t="e">
        <f t="shared" ca="1" si="3"/>
        <v>#N/A</v>
      </c>
      <c r="AG25" s="135" t="e">
        <f t="shared" ca="1" si="3"/>
        <v>#N/A</v>
      </c>
      <c r="AH25" s="135" t="e">
        <f t="shared" ca="1" si="3"/>
        <v>#N/A</v>
      </c>
      <c r="AI25" s="136" t="e">
        <f t="shared" ca="1" si="3"/>
        <v>#N/A</v>
      </c>
      <c r="AJ25" s="136" t="e">
        <f t="shared" ca="1" si="3"/>
        <v>#N/A</v>
      </c>
      <c r="AK25" s="136" t="e">
        <f t="shared" ca="1" si="3"/>
        <v>#N/A</v>
      </c>
      <c r="AL25" s="136" t="e">
        <f t="shared" ca="1" si="3"/>
        <v>#N/A</v>
      </c>
      <c r="AM25" s="136" t="e">
        <f t="shared" ca="1" si="3"/>
        <v>#N/A</v>
      </c>
      <c r="AN25" s="136" t="e">
        <f t="shared" ca="1" si="3"/>
        <v>#N/A</v>
      </c>
      <c r="AO25" s="136" t="e">
        <f t="shared" ca="1" si="3"/>
        <v>#N/A</v>
      </c>
      <c r="AP25" s="136" t="e">
        <f t="shared" ca="1" si="3"/>
        <v>#N/A</v>
      </c>
      <c r="AQ25" s="136" t="e">
        <f t="shared" ca="1" si="3"/>
        <v>#N/A</v>
      </c>
      <c r="AR25" s="136" t="e">
        <f t="shared" ca="1" si="3"/>
        <v>#N/A</v>
      </c>
    </row>
    <row r="26" spans="1:44" x14ac:dyDescent="0.25">
      <c r="A26" s="142"/>
      <c r="B26" s="140"/>
      <c r="C26" s="140"/>
      <c r="D26" s="141"/>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35"/>
      <c r="AI26" s="143"/>
      <c r="AJ26" s="143"/>
      <c r="AK26" s="143"/>
      <c r="AL26" s="143"/>
      <c r="AM26" s="143"/>
      <c r="AN26" s="143"/>
      <c r="AO26" s="143"/>
      <c r="AP26" s="143"/>
      <c r="AQ26" s="143"/>
      <c r="AR26" s="143"/>
    </row>
    <row r="27" spans="1:44" x14ac:dyDescent="0.25">
      <c r="A27" s="132" t="s">
        <v>5</v>
      </c>
      <c r="B27" s="140"/>
      <c r="C27" s="134"/>
      <c r="D27" s="141"/>
      <c r="E27" s="6">
        <f t="shared" ref="E27:AR27" ca="1" si="4">IF(E20&gt;TODAY(), #N/A, E24/E19)</f>
        <v>5</v>
      </c>
      <c r="F27" s="6">
        <f t="shared" ca="1" si="4"/>
        <v>3</v>
      </c>
      <c r="G27" s="6">
        <f t="shared" ca="1" si="4"/>
        <v>3</v>
      </c>
      <c r="H27" s="6">
        <f t="shared" ca="1" si="4"/>
        <v>2.25</v>
      </c>
      <c r="I27" s="6">
        <f t="shared" ca="1" si="4"/>
        <v>2.8</v>
      </c>
      <c r="J27" s="6">
        <f t="shared" ca="1" si="4"/>
        <v>2.5</v>
      </c>
      <c r="K27" s="6" t="e">
        <f t="shared" ca="1" si="4"/>
        <v>#N/A</v>
      </c>
      <c r="L27" s="6" t="e">
        <f t="shared" ca="1" si="4"/>
        <v>#N/A</v>
      </c>
      <c r="M27" s="6" t="e">
        <f t="shared" ca="1" si="4"/>
        <v>#N/A</v>
      </c>
      <c r="N27" s="6" t="e">
        <f t="shared" ca="1" si="4"/>
        <v>#N/A</v>
      </c>
      <c r="O27" s="6" t="e">
        <f t="shared" ca="1" si="4"/>
        <v>#N/A</v>
      </c>
      <c r="P27" s="6" t="e">
        <f t="shared" ca="1" si="4"/>
        <v>#N/A</v>
      </c>
      <c r="Q27" s="6" t="e">
        <f t="shared" ca="1" si="4"/>
        <v>#N/A</v>
      </c>
      <c r="R27" s="6" t="e">
        <f t="shared" ca="1" si="4"/>
        <v>#N/A</v>
      </c>
      <c r="S27" s="6" t="e">
        <f t="shared" ca="1" si="4"/>
        <v>#N/A</v>
      </c>
      <c r="T27" s="6" t="e">
        <f t="shared" ca="1" si="4"/>
        <v>#N/A</v>
      </c>
      <c r="U27" s="6" t="e">
        <f t="shared" ca="1" si="4"/>
        <v>#N/A</v>
      </c>
      <c r="V27" s="6" t="e">
        <f t="shared" ca="1" si="4"/>
        <v>#N/A</v>
      </c>
      <c r="W27" s="6" t="e">
        <f t="shared" ca="1" si="4"/>
        <v>#N/A</v>
      </c>
      <c r="X27" s="6" t="e">
        <f t="shared" ca="1" si="4"/>
        <v>#N/A</v>
      </c>
      <c r="Y27" s="6" t="e">
        <f t="shared" ca="1" si="4"/>
        <v>#N/A</v>
      </c>
      <c r="Z27" s="6" t="e">
        <f t="shared" ca="1" si="4"/>
        <v>#N/A</v>
      </c>
      <c r="AA27" s="6" t="e">
        <f t="shared" ca="1" si="4"/>
        <v>#N/A</v>
      </c>
      <c r="AB27" s="6" t="e">
        <f t="shared" ca="1" si="4"/>
        <v>#N/A</v>
      </c>
      <c r="AC27" s="6" t="e">
        <f t="shared" ca="1" si="4"/>
        <v>#N/A</v>
      </c>
      <c r="AD27" s="6" t="e">
        <f t="shared" ca="1" si="4"/>
        <v>#N/A</v>
      </c>
      <c r="AE27" s="6" t="e">
        <f t="shared" ca="1" si="4"/>
        <v>#N/A</v>
      </c>
      <c r="AF27" s="6" t="e">
        <f t="shared" ca="1" si="4"/>
        <v>#N/A</v>
      </c>
      <c r="AG27" s="6" t="e">
        <f t="shared" ca="1" si="4"/>
        <v>#N/A</v>
      </c>
      <c r="AH27" s="144" t="e">
        <f t="shared" ca="1" si="4"/>
        <v>#N/A</v>
      </c>
      <c r="AI27" s="145" t="e">
        <f t="shared" ca="1" si="4"/>
        <v>#N/A</v>
      </c>
      <c r="AJ27" s="145" t="e">
        <f t="shared" ca="1" si="4"/>
        <v>#N/A</v>
      </c>
      <c r="AK27" s="145" t="e">
        <f t="shared" ca="1" si="4"/>
        <v>#N/A</v>
      </c>
      <c r="AL27" s="145" t="e">
        <f t="shared" ca="1" si="4"/>
        <v>#N/A</v>
      </c>
      <c r="AM27" s="145" t="e">
        <f t="shared" ca="1" si="4"/>
        <v>#N/A</v>
      </c>
      <c r="AN27" s="145" t="e">
        <f t="shared" ca="1" si="4"/>
        <v>#N/A</v>
      </c>
      <c r="AO27" s="145" t="e">
        <f t="shared" ca="1" si="4"/>
        <v>#N/A</v>
      </c>
      <c r="AP27" s="145" t="e">
        <f t="shared" ca="1" si="4"/>
        <v>#N/A</v>
      </c>
      <c r="AQ27" s="145" t="e">
        <f t="shared" ca="1" si="4"/>
        <v>#N/A</v>
      </c>
      <c r="AR27" s="145" t="e">
        <f t="shared" ca="1" si="4"/>
        <v>#N/A</v>
      </c>
    </row>
    <row r="28" spans="1:44" x14ac:dyDescent="0.25">
      <c r="A28" s="142" t="s">
        <v>6</v>
      </c>
      <c r="B28" s="140"/>
      <c r="C28" s="140"/>
      <c r="D28" s="141"/>
      <c r="E28" s="146">
        <f t="shared" ref="E28:AR28" ca="1" si="5">IF(E20&gt;TODAY(), #N/A, IF(E27=0, SprintStart, E20 + (E22/E27)))</f>
        <v>43081.2</v>
      </c>
      <c r="F28" s="146">
        <f t="shared" ca="1" si="5"/>
        <v>43085.333333333336</v>
      </c>
      <c r="G28" s="146">
        <f t="shared" ca="1" si="5"/>
        <v>43085.333333333336</v>
      </c>
      <c r="H28" s="146">
        <f t="shared" ca="1" si="5"/>
        <v>43088.777777777781</v>
      </c>
      <c r="I28" s="146">
        <f t="shared" ca="1" si="5"/>
        <v>43086.071428571428</v>
      </c>
      <c r="J28" s="146">
        <f t="shared" ca="1" si="5"/>
        <v>43087.4</v>
      </c>
      <c r="K28" s="146" t="e">
        <f t="shared" ca="1" si="5"/>
        <v>#N/A</v>
      </c>
      <c r="L28" s="146" t="e">
        <f t="shared" ca="1" si="5"/>
        <v>#N/A</v>
      </c>
      <c r="M28" s="146" t="e">
        <f t="shared" ca="1" si="5"/>
        <v>#N/A</v>
      </c>
      <c r="N28" s="146" t="e">
        <f t="shared" ca="1" si="5"/>
        <v>#N/A</v>
      </c>
      <c r="O28" s="146" t="e">
        <f t="shared" ca="1" si="5"/>
        <v>#N/A</v>
      </c>
      <c r="P28" s="146" t="e">
        <f t="shared" ca="1" si="5"/>
        <v>#N/A</v>
      </c>
      <c r="Q28" s="146" t="e">
        <f t="shared" ca="1" si="5"/>
        <v>#N/A</v>
      </c>
      <c r="R28" s="146" t="e">
        <f t="shared" ca="1" si="5"/>
        <v>#N/A</v>
      </c>
      <c r="S28" s="146" t="e">
        <f t="shared" ca="1" si="5"/>
        <v>#N/A</v>
      </c>
      <c r="T28" s="146" t="e">
        <f t="shared" ca="1" si="5"/>
        <v>#N/A</v>
      </c>
      <c r="U28" s="146" t="e">
        <f t="shared" ca="1" si="5"/>
        <v>#N/A</v>
      </c>
      <c r="V28" s="146" t="e">
        <f t="shared" ca="1" si="5"/>
        <v>#N/A</v>
      </c>
      <c r="W28" s="146" t="e">
        <f t="shared" ca="1" si="5"/>
        <v>#N/A</v>
      </c>
      <c r="X28" s="146" t="e">
        <f t="shared" ca="1" si="5"/>
        <v>#N/A</v>
      </c>
      <c r="Y28" s="146" t="e">
        <f t="shared" ca="1" si="5"/>
        <v>#N/A</v>
      </c>
      <c r="Z28" s="146" t="e">
        <f t="shared" ca="1" si="5"/>
        <v>#N/A</v>
      </c>
      <c r="AA28" s="146" t="e">
        <f t="shared" ca="1" si="5"/>
        <v>#N/A</v>
      </c>
      <c r="AB28" s="146" t="e">
        <f t="shared" ca="1" si="5"/>
        <v>#N/A</v>
      </c>
      <c r="AC28" s="146" t="e">
        <f t="shared" ca="1" si="5"/>
        <v>#N/A</v>
      </c>
      <c r="AD28" s="146" t="e">
        <f t="shared" ca="1" si="5"/>
        <v>#N/A</v>
      </c>
      <c r="AE28" s="146" t="e">
        <f t="shared" ca="1" si="5"/>
        <v>#N/A</v>
      </c>
      <c r="AF28" s="146" t="e">
        <f t="shared" ca="1" si="5"/>
        <v>#N/A</v>
      </c>
      <c r="AG28" s="146" t="e">
        <f t="shared" ca="1" si="5"/>
        <v>#N/A</v>
      </c>
      <c r="AH28" s="138" t="e">
        <f t="shared" ca="1" si="5"/>
        <v>#N/A</v>
      </c>
      <c r="AI28" s="147" t="e">
        <f t="shared" ca="1" si="5"/>
        <v>#N/A</v>
      </c>
      <c r="AJ28" s="147" t="e">
        <f t="shared" ca="1" si="5"/>
        <v>#N/A</v>
      </c>
      <c r="AK28" s="147" t="e">
        <f t="shared" ca="1" si="5"/>
        <v>#N/A</v>
      </c>
      <c r="AL28" s="147" t="e">
        <f t="shared" ca="1" si="5"/>
        <v>#N/A</v>
      </c>
      <c r="AM28" s="147" t="e">
        <f t="shared" ca="1" si="5"/>
        <v>#N/A</v>
      </c>
      <c r="AN28" s="147" t="e">
        <f t="shared" ca="1" si="5"/>
        <v>#N/A</v>
      </c>
      <c r="AO28" s="147" t="e">
        <f t="shared" ca="1" si="5"/>
        <v>#N/A</v>
      </c>
      <c r="AP28" s="147" t="e">
        <f t="shared" ca="1" si="5"/>
        <v>#N/A</v>
      </c>
      <c r="AQ28" s="147" t="e">
        <f t="shared" ca="1" si="5"/>
        <v>#N/A</v>
      </c>
      <c r="AR28" s="147" t="e">
        <f t="shared" ca="1" si="5"/>
        <v>#N/A</v>
      </c>
    </row>
    <row r="29" spans="1:44" x14ac:dyDescent="0.25">
      <c r="A29" s="142" t="s">
        <v>32</v>
      </c>
      <c r="B29" s="140"/>
      <c r="C29" s="140"/>
      <c r="D29" s="141"/>
      <c r="E29" s="146">
        <f t="shared" ref="E29:AR29" ca="1" si="6">IF(E$20&gt;TODAY(), #N/A, IF(E$33&gt;0, SprintStart+((E$25*E$19)/E$33)-1, SprintStart))</f>
        <v>43081.2</v>
      </c>
      <c r="F29" s="146">
        <f t="shared" ca="1" si="6"/>
        <v>43087.4</v>
      </c>
      <c r="G29" s="146">
        <f t="shared" ca="1" si="6"/>
        <v>43093.599999999999</v>
      </c>
      <c r="H29" s="146">
        <f t="shared" ca="1" si="6"/>
        <v>43099.8</v>
      </c>
      <c r="I29" s="146">
        <f t="shared" ca="1" si="6"/>
        <v>43100.833333333336</v>
      </c>
      <c r="J29" s="146">
        <f t="shared" ca="1" si="6"/>
        <v>43101.571428571428</v>
      </c>
      <c r="K29" s="146" t="e">
        <f t="shared" ca="1" si="6"/>
        <v>#N/A</v>
      </c>
      <c r="L29" s="146" t="e">
        <f t="shared" ca="1" si="6"/>
        <v>#N/A</v>
      </c>
      <c r="M29" s="146" t="e">
        <f t="shared" ca="1" si="6"/>
        <v>#N/A</v>
      </c>
      <c r="N29" s="146" t="e">
        <f t="shared" ca="1" si="6"/>
        <v>#N/A</v>
      </c>
      <c r="O29" s="146" t="e">
        <f t="shared" ca="1" si="6"/>
        <v>#N/A</v>
      </c>
      <c r="P29" s="146" t="e">
        <f t="shared" ca="1" si="6"/>
        <v>#N/A</v>
      </c>
      <c r="Q29" s="146" t="e">
        <f t="shared" ca="1" si="6"/>
        <v>#N/A</v>
      </c>
      <c r="R29" s="146" t="e">
        <f t="shared" ca="1" si="6"/>
        <v>#N/A</v>
      </c>
      <c r="S29" s="146" t="e">
        <f t="shared" ca="1" si="6"/>
        <v>#N/A</v>
      </c>
      <c r="T29" s="146" t="e">
        <f t="shared" ca="1" si="6"/>
        <v>#N/A</v>
      </c>
      <c r="U29" s="146" t="e">
        <f t="shared" ca="1" si="6"/>
        <v>#N/A</v>
      </c>
      <c r="V29" s="146" t="e">
        <f t="shared" ca="1" si="6"/>
        <v>#N/A</v>
      </c>
      <c r="W29" s="146" t="e">
        <f t="shared" ca="1" si="6"/>
        <v>#N/A</v>
      </c>
      <c r="X29" s="146" t="e">
        <f t="shared" ca="1" si="6"/>
        <v>#N/A</v>
      </c>
      <c r="Y29" s="146" t="e">
        <f t="shared" ca="1" si="6"/>
        <v>#N/A</v>
      </c>
      <c r="Z29" s="146" t="e">
        <f t="shared" ca="1" si="6"/>
        <v>#N/A</v>
      </c>
      <c r="AA29" s="146" t="e">
        <f t="shared" ca="1" si="6"/>
        <v>#N/A</v>
      </c>
      <c r="AB29" s="146" t="e">
        <f t="shared" ca="1" si="6"/>
        <v>#N/A</v>
      </c>
      <c r="AC29" s="146" t="e">
        <f t="shared" ca="1" si="6"/>
        <v>#N/A</v>
      </c>
      <c r="AD29" s="146" t="e">
        <f t="shared" ca="1" si="6"/>
        <v>#N/A</v>
      </c>
      <c r="AE29" s="146" t="e">
        <f t="shared" ca="1" si="6"/>
        <v>#N/A</v>
      </c>
      <c r="AF29" s="146" t="e">
        <f t="shared" ca="1" si="6"/>
        <v>#N/A</v>
      </c>
      <c r="AG29" s="146" t="e">
        <f t="shared" ca="1" si="6"/>
        <v>#N/A</v>
      </c>
      <c r="AH29" s="138" t="e">
        <f t="shared" ca="1" si="6"/>
        <v>#N/A</v>
      </c>
      <c r="AI29" s="147" t="e">
        <f t="shared" ca="1" si="6"/>
        <v>#N/A</v>
      </c>
      <c r="AJ29" s="147" t="e">
        <f t="shared" ca="1" si="6"/>
        <v>#N/A</v>
      </c>
      <c r="AK29" s="147" t="e">
        <f t="shared" ca="1" si="6"/>
        <v>#N/A</v>
      </c>
      <c r="AL29" s="147" t="e">
        <f t="shared" ca="1" si="6"/>
        <v>#N/A</v>
      </c>
      <c r="AM29" s="147" t="e">
        <f t="shared" ca="1" si="6"/>
        <v>#N/A</v>
      </c>
      <c r="AN29" s="147" t="e">
        <f t="shared" ca="1" si="6"/>
        <v>#N/A</v>
      </c>
      <c r="AO29" s="147" t="e">
        <f t="shared" ca="1" si="6"/>
        <v>#N/A</v>
      </c>
      <c r="AP29" s="147" t="e">
        <f t="shared" ca="1" si="6"/>
        <v>#N/A</v>
      </c>
      <c r="AQ29" s="147" t="e">
        <f t="shared" ca="1" si="6"/>
        <v>#N/A</v>
      </c>
      <c r="AR29" s="147" t="e">
        <f t="shared" ca="1" si="6"/>
        <v>#N/A</v>
      </c>
    </row>
    <row r="30" spans="1:44" x14ac:dyDescent="0.25">
      <c r="A30" s="142"/>
      <c r="B30" s="140"/>
      <c r="C30" s="140"/>
      <c r="D30" s="141"/>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35"/>
      <c r="AI30" s="143"/>
      <c r="AJ30" s="143"/>
      <c r="AK30" s="143"/>
      <c r="AL30" s="143"/>
      <c r="AM30" s="143"/>
      <c r="AN30" s="143"/>
      <c r="AO30" s="143"/>
      <c r="AP30" s="143"/>
      <c r="AQ30" s="143"/>
      <c r="AR30" s="143"/>
    </row>
    <row r="31" spans="1:44" x14ac:dyDescent="0.25">
      <c r="A31" s="142" t="s">
        <v>28</v>
      </c>
      <c r="B31" s="140"/>
      <c r="C31" s="140"/>
      <c r="D31" s="141"/>
      <c r="E31" s="140">
        <f t="shared" ref="E31:AR31" ca="1" si="7">IF(E$20&gt;TODAY(), #N/A, SUMIF(INDEX(Burndown,,(E$19-1)*BurndownColumns+StatusColumn), "=Pending",INDEX(Burndown,,(E$19-1)*BurndownColumns+HoursLeftColumn)))</f>
        <v>26</v>
      </c>
      <c r="F31" s="140">
        <f t="shared" ca="1" si="7"/>
        <v>18</v>
      </c>
      <c r="G31" s="140">
        <f t="shared" ca="1" si="7"/>
        <v>18</v>
      </c>
      <c r="H31" s="140">
        <f t="shared" ca="1" si="7"/>
        <v>18</v>
      </c>
      <c r="I31" s="140">
        <f t="shared" ca="1" si="7"/>
        <v>1</v>
      </c>
      <c r="J31" s="140">
        <f t="shared" ca="1" si="7"/>
        <v>0</v>
      </c>
      <c r="K31" s="140" t="e">
        <f t="shared" ca="1" si="7"/>
        <v>#N/A</v>
      </c>
      <c r="L31" s="140" t="e">
        <f t="shared" ca="1" si="7"/>
        <v>#N/A</v>
      </c>
      <c r="M31" s="140" t="e">
        <f t="shared" ca="1" si="7"/>
        <v>#N/A</v>
      </c>
      <c r="N31" s="140" t="e">
        <f t="shared" ca="1" si="7"/>
        <v>#N/A</v>
      </c>
      <c r="O31" s="140" t="e">
        <f t="shared" ca="1" si="7"/>
        <v>#N/A</v>
      </c>
      <c r="P31" s="140" t="e">
        <f t="shared" ca="1" si="7"/>
        <v>#N/A</v>
      </c>
      <c r="Q31" s="140" t="e">
        <f t="shared" ca="1" si="7"/>
        <v>#N/A</v>
      </c>
      <c r="R31" s="140" t="e">
        <f t="shared" ca="1" si="7"/>
        <v>#N/A</v>
      </c>
      <c r="S31" s="140" t="e">
        <f t="shared" ca="1" si="7"/>
        <v>#N/A</v>
      </c>
      <c r="T31" s="140" t="e">
        <f t="shared" ca="1" si="7"/>
        <v>#N/A</v>
      </c>
      <c r="U31" s="140" t="e">
        <f t="shared" ca="1" si="7"/>
        <v>#N/A</v>
      </c>
      <c r="V31" s="140" t="e">
        <f t="shared" ca="1" si="7"/>
        <v>#N/A</v>
      </c>
      <c r="W31" s="140" t="e">
        <f t="shared" ca="1" si="7"/>
        <v>#N/A</v>
      </c>
      <c r="X31" s="140" t="e">
        <f t="shared" ca="1" si="7"/>
        <v>#N/A</v>
      </c>
      <c r="Y31" s="140" t="e">
        <f t="shared" ca="1" si="7"/>
        <v>#N/A</v>
      </c>
      <c r="Z31" s="140" t="e">
        <f t="shared" ca="1" si="7"/>
        <v>#N/A</v>
      </c>
      <c r="AA31" s="140" t="e">
        <f t="shared" ca="1" si="7"/>
        <v>#N/A</v>
      </c>
      <c r="AB31" s="140" t="e">
        <f t="shared" ca="1" si="7"/>
        <v>#N/A</v>
      </c>
      <c r="AC31" s="140" t="e">
        <f t="shared" ca="1" si="7"/>
        <v>#N/A</v>
      </c>
      <c r="AD31" s="140" t="e">
        <f t="shared" ca="1" si="7"/>
        <v>#N/A</v>
      </c>
      <c r="AE31" s="140" t="e">
        <f t="shared" ca="1" si="7"/>
        <v>#N/A</v>
      </c>
      <c r="AF31" s="140" t="e">
        <f t="shared" ca="1" si="7"/>
        <v>#N/A</v>
      </c>
      <c r="AG31" s="140" t="e">
        <f t="shared" ca="1" si="7"/>
        <v>#N/A</v>
      </c>
      <c r="AH31" s="135" t="e">
        <f t="shared" ca="1" si="7"/>
        <v>#N/A</v>
      </c>
      <c r="AI31" s="143" t="e">
        <f t="shared" ca="1" si="7"/>
        <v>#N/A</v>
      </c>
      <c r="AJ31" s="143" t="e">
        <f t="shared" ca="1" si="7"/>
        <v>#N/A</v>
      </c>
      <c r="AK31" s="143" t="e">
        <f t="shared" ca="1" si="7"/>
        <v>#N/A</v>
      </c>
      <c r="AL31" s="143" t="e">
        <f t="shared" ca="1" si="7"/>
        <v>#N/A</v>
      </c>
      <c r="AM31" s="143" t="e">
        <f t="shared" ca="1" si="7"/>
        <v>#N/A</v>
      </c>
      <c r="AN31" s="143" t="e">
        <f t="shared" ca="1" si="7"/>
        <v>#N/A</v>
      </c>
      <c r="AO31" s="143" t="e">
        <f t="shared" ca="1" si="7"/>
        <v>#N/A</v>
      </c>
      <c r="AP31" s="143" t="e">
        <f t="shared" ca="1" si="7"/>
        <v>#N/A</v>
      </c>
      <c r="AQ31" s="143" t="e">
        <f t="shared" ca="1" si="7"/>
        <v>#N/A</v>
      </c>
      <c r="AR31" s="143" t="e">
        <f t="shared" ca="1" si="7"/>
        <v>#N/A</v>
      </c>
    </row>
    <row r="32" spans="1:44" x14ac:dyDescent="0.25">
      <c r="A32" s="142" t="s">
        <v>29</v>
      </c>
      <c r="B32" s="140"/>
      <c r="C32" s="140"/>
      <c r="D32" s="141"/>
      <c r="E32" s="148">
        <f t="shared" ref="E32:AR32" ca="1" si="8">E$22-E$31+E$24-E$33</f>
        <v>0</v>
      </c>
      <c r="F32" s="148">
        <f t="shared" ca="1" si="8"/>
        <v>8</v>
      </c>
      <c r="G32" s="148">
        <f t="shared" ca="1" si="8"/>
        <v>8</v>
      </c>
      <c r="H32" s="148">
        <f t="shared" ca="1" si="8"/>
        <v>8</v>
      </c>
      <c r="I32" s="148">
        <f t="shared" ca="1" si="8"/>
        <v>24</v>
      </c>
      <c r="J32" s="148">
        <f t="shared" ca="1" si="8"/>
        <v>24</v>
      </c>
      <c r="K32" s="148" t="e">
        <f t="shared" ca="1" si="8"/>
        <v>#N/A</v>
      </c>
      <c r="L32" s="148" t="e">
        <f t="shared" ca="1" si="8"/>
        <v>#N/A</v>
      </c>
      <c r="M32" s="148" t="e">
        <f t="shared" ca="1" si="8"/>
        <v>#N/A</v>
      </c>
      <c r="N32" s="148" t="e">
        <f t="shared" ca="1" si="8"/>
        <v>#N/A</v>
      </c>
      <c r="O32" s="148" t="e">
        <f t="shared" ca="1" si="8"/>
        <v>#N/A</v>
      </c>
      <c r="P32" s="148" t="e">
        <f t="shared" ca="1" si="8"/>
        <v>#N/A</v>
      </c>
      <c r="Q32" s="148" t="e">
        <f t="shared" ca="1" si="8"/>
        <v>#N/A</v>
      </c>
      <c r="R32" s="148" t="e">
        <f t="shared" ca="1" si="8"/>
        <v>#N/A</v>
      </c>
      <c r="S32" s="148" t="e">
        <f t="shared" ca="1" si="8"/>
        <v>#N/A</v>
      </c>
      <c r="T32" s="148" t="e">
        <f t="shared" ca="1" si="8"/>
        <v>#N/A</v>
      </c>
      <c r="U32" s="148" t="e">
        <f t="shared" ca="1" si="8"/>
        <v>#N/A</v>
      </c>
      <c r="V32" s="148" t="e">
        <f t="shared" ca="1" si="8"/>
        <v>#N/A</v>
      </c>
      <c r="W32" s="148" t="e">
        <f t="shared" ca="1" si="8"/>
        <v>#N/A</v>
      </c>
      <c r="X32" s="148" t="e">
        <f t="shared" ca="1" si="8"/>
        <v>#N/A</v>
      </c>
      <c r="Y32" s="148" t="e">
        <f t="shared" ca="1" si="8"/>
        <v>#N/A</v>
      </c>
      <c r="Z32" s="148" t="e">
        <f t="shared" ca="1" si="8"/>
        <v>#N/A</v>
      </c>
      <c r="AA32" s="148" t="e">
        <f t="shared" ca="1" si="8"/>
        <v>#N/A</v>
      </c>
      <c r="AB32" s="148" t="e">
        <f t="shared" ca="1" si="8"/>
        <v>#N/A</v>
      </c>
      <c r="AC32" s="148" t="e">
        <f t="shared" ca="1" si="8"/>
        <v>#N/A</v>
      </c>
      <c r="AD32" s="148" t="e">
        <f t="shared" ca="1" si="8"/>
        <v>#N/A</v>
      </c>
      <c r="AE32" s="148" t="e">
        <f t="shared" ca="1" si="8"/>
        <v>#N/A</v>
      </c>
      <c r="AF32" s="148" t="e">
        <f t="shared" ca="1" si="8"/>
        <v>#N/A</v>
      </c>
      <c r="AG32" s="148" t="e">
        <f t="shared" ca="1" si="8"/>
        <v>#N/A</v>
      </c>
      <c r="AH32" s="149" t="e">
        <f t="shared" ca="1" si="8"/>
        <v>#N/A</v>
      </c>
      <c r="AI32" s="150" t="e">
        <f t="shared" ca="1" si="8"/>
        <v>#N/A</v>
      </c>
      <c r="AJ32" s="150" t="e">
        <f t="shared" ca="1" si="8"/>
        <v>#N/A</v>
      </c>
      <c r="AK32" s="150" t="e">
        <f t="shared" ca="1" si="8"/>
        <v>#N/A</v>
      </c>
      <c r="AL32" s="150" t="e">
        <f t="shared" ca="1" si="8"/>
        <v>#N/A</v>
      </c>
      <c r="AM32" s="150" t="e">
        <f t="shared" ca="1" si="8"/>
        <v>#N/A</v>
      </c>
      <c r="AN32" s="150" t="e">
        <f t="shared" ca="1" si="8"/>
        <v>#N/A</v>
      </c>
      <c r="AO32" s="150" t="e">
        <f t="shared" ca="1" si="8"/>
        <v>#N/A</v>
      </c>
      <c r="AP32" s="150" t="e">
        <f t="shared" ca="1" si="8"/>
        <v>#N/A</v>
      </c>
      <c r="AQ32" s="150" t="e">
        <f t="shared" ca="1" si="8"/>
        <v>#N/A</v>
      </c>
      <c r="AR32" s="150" t="e">
        <f t="shared" ca="1" si="8"/>
        <v>#N/A</v>
      </c>
    </row>
    <row r="33" spans="1:44" x14ac:dyDescent="0.25">
      <c r="A33" s="142" t="s">
        <v>30</v>
      </c>
      <c r="B33" s="140"/>
      <c r="C33" s="140"/>
      <c r="D33" s="141"/>
      <c r="E33" s="140">
        <f t="shared" ref="E33:AR33" ca="1" si="9">IF(E$20&gt;TODAY(), #N/A, SUMIF(INDEX(Burndown,,(E$19-1)*BurndownColumns+StatusColumn), "=Complete",TotalEffort))</f>
        <v>5</v>
      </c>
      <c r="F33" s="140">
        <f t="shared" ca="1" si="9"/>
        <v>5</v>
      </c>
      <c r="G33" s="140">
        <f t="shared" ca="1" si="9"/>
        <v>5</v>
      </c>
      <c r="H33" s="140">
        <f t="shared" ca="1" si="9"/>
        <v>5</v>
      </c>
      <c r="I33" s="140">
        <f t="shared" ca="1" si="9"/>
        <v>6</v>
      </c>
      <c r="J33" s="140">
        <f t="shared" ca="1" si="9"/>
        <v>7</v>
      </c>
      <c r="K33" s="140" t="e">
        <f t="shared" ca="1" si="9"/>
        <v>#N/A</v>
      </c>
      <c r="L33" s="140" t="e">
        <f t="shared" ca="1" si="9"/>
        <v>#N/A</v>
      </c>
      <c r="M33" s="140" t="e">
        <f t="shared" ca="1" si="9"/>
        <v>#N/A</v>
      </c>
      <c r="N33" s="140" t="e">
        <f t="shared" ca="1" si="9"/>
        <v>#N/A</v>
      </c>
      <c r="O33" s="140" t="e">
        <f t="shared" ca="1" si="9"/>
        <v>#N/A</v>
      </c>
      <c r="P33" s="140" t="e">
        <f t="shared" ca="1" si="9"/>
        <v>#N/A</v>
      </c>
      <c r="Q33" s="140" t="e">
        <f t="shared" ca="1" si="9"/>
        <v>#N/A</v>
      </c>
      <c r="R33" s="140" t="e">
        <f t="shared" ca="1" si="9"/>
        <v>#N/A</v>
      </c>
      <c r="S33" s="140" t="e">
        <f t="shared" ca="1" si="9"/>
        <v>#N/A</v>
      </c>
      <c r="T33" s="140" t="e">
        <f t="shared" ca="1" si="9"/>
        <v>#N/A</v>
      </c>
      <c r="U33" s="140" t="e">
        <f t="shared" ca="1" si="9"/>
        <v>#N/A</v>
      </c>
      <c r="V33" s="140" t="e">
        <f t="shared" ca="1" si="9"/>
        <v>#N/A</v>
      </c>
      <c r="W33" s="140" t="e">
        <f t="shared" ca="1" si="9"/>
        <v>#N/A</v>
      </c>
      <c r="X33" s="140" t="e">
        <f t="shared" ca="1" si="9"/>
        <v>#N/A</v>
      </c>
      <c r="Y33" s="140" t="e">
        <f t="shared" ca="1" si="9"/>
        <v>#N/A</v>
      </c>
      <c r="Z33" s="140" t="e">
        <f t="shared" ca="1" si="9"/>
        <v>#N/A</v>
      </c>
      <c r="AA33" s="140" t="e">
        <f t="shared" ca="1" si="9"/>
        <v>#N/A</v>
      </c>
      <c r="AB33" s="140" t="e">
        <f t="shared" ca="1" si="9"/>
        <v>#N/A</v>
      </c>
      <c r="AC33" s="140" t="e">
        <f t="shared" ca="1" si="9"/>
        <v>#N/A</v>
      </c>
      <c r="AD33" s="140" t="e">
        <f t="shared" ca="1" si="9"/>
        <v>#N/A</v>
      </c>
      <c r="AE33" s="140" t="e">
        <f t="shared" ca="1" si="9"/>
        <v>#N/A</v>
      </c>
      <c r="AF33" s="140" t="e">
        <f t="shared" ca="1" si="9"/>
        <v>#N/A</v>
      </c>
      <c r="AG33" s="140" t="e">
        <f t="shared" ca="1" si="9"/>
        <v>#N/A</v>
      </c>
      <c r="AH33" s="135" t="e">
        <f t="shared" ca="1" si="9"/>
        <v>#N/A</v>
      </c>
      <c r="AI33" s="143" t="e">
        <f t="shared" ca="1" si="9"/>
        <v>#N/A</v>
      </c>
      <c r="AJ33" s="143" t="e">
        <f t="shared" ca="1" si="9"/>
        <v>#N/A</v>
      </c>
      <c r="AK33" s="143" t="e">
        <f t="shared" ca="1" si="9"/>
        <v>#N/A</v>
      </c>
      <c r="AL33" s="143" t="e">
        <f t="shared" ca="1" si="9"/>
        <v>#N/A</v>
      </c>
      <c r="AM33" s="143" t="e">
        <f t="shared" ca="1" si="9"/>
        <v>#N/A</v>
      </c>
      <c r="AN33" s="143" t="e">
        <f t="shared" ca="1" si="9"/>
        <v>#N/A</v>
      </c>
      <c r="AO33" s="143" t="e">
        <f t="shared" ca="1" si="9"/>
        <v>#N/A</v>
      </c>
      <c r="AP33" s="143" t="e">
        <f t="shared" ca="1" si="9"/>
        <v>#N/A</v>
      </c>
      <c r="AQ33" s="143" t="e">
        <f t="shared" ca="1" si="9"/>
        <v>#N/A</v>
      </c>
      <c r="AR33" s="143" t="e">
        <f t="shared" ca="1" si="9"/>
        <v>#N/A</v>
      </c>
    </row>
    <row r="34" spans="1:44" x14ac:dyDescent="0.25">
      <c r="A34" s="142"/>
      <c r="B34" s="140"/>
      <c r="C34" s="140"/>
      <c r="D34" s="141"/>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35"/>
      <c r="AI34" s="143"/>
      <c r="AJ34" s="143"/>
      <c r="AK34" s="143"/>
      <c r="AL34" s="143"/>
      <c r="AM34" s="143"/>
      <c r="AN34" s="143"/>
      <c r="AO34" s="143"/>
      <c r="AP34" s="143"/>
      <c r="AQ34" s="143"/>
      <c r="AR34" s="143"/>
    </row>
    <row r="35" spans="1:44" x14ac:dyDescent="0.25">
      <c r="A35" s="142" t="s">
        <v>11</v>
      </c>
      <c r="B35" s="140"/>
      <c r="C35" s="140"/>
      <c r="D35" s="141"/>
      <c r="E35" s="140">
        <f t="shared" ref="E35:AR35" ca="1" si="10">IF(E20&gt;TODAY(), #N/A, COUNTIF(INDEX(Burndown,,(E19-1)*BurndownColumns+StatusColumn), "=Pending"))</f>
        <v>4</v>
      </c>
      <c r="F35" s="140">
        <f t="shared" ca="1" si="10"/>
        <v>3</v>
      </c>
      <c r="G35" s="140">
        <f t="shared" ca="1" si="10"/>
        <v>3</v>
      </c>
      <c r="H35" s="140">
        <f t="shared" ca="1" si="10"/>
        <v>3</v>
      </c>
      <c r="I35" s="140">
        <f t="shared" ca="1" si="10"/>
        <v>1</v>
      </c>
      <c r="J35" s="140">
        <f t="shared" ca="1" si="10"/>
        <v>0</v>
      </c>
      <c r="K35" s="140" t="e">
        <f t="shared" ca="1" si="10"/>
        <v>#N/A</v>
      </c>
      <c r="L35" s="140" t="e">
        <f t="shared" ca="1" si="10"/>
        <v>#N/A</v>
      </c>
      <c r="M35" s="140" t="e">
        <f t="shared" ca="1" si="10"/>
        <v>#N/A</v>
      </c>
      <c r="N35" s="140" t="e">
        <f t="shared" ca="1" si="10"/>
        <v>#N/A</v>
      </c>
      <c r="O35" s="140" t="e">
        <f t="shared" ca="1" si="10"/>
        <v>#N/A</v>
      </c>
      <c r="P35" s="140" t="e">
        <f t="shared" ca="1" si="10"/>
        <v>#N/A</v>
      </c>
      <c r="Q35" s="140" t="e">
        <f t="shared" ca="1" si="10"/>
        <v>#N/A</v>
      </c>
      <c r="R35" s="140" t="e">
        <f t="shared" ca="1" si="10"/>
        <v>#N/A</v>
      </c>
      <c r="S35" s="140" t="e">
        <f t="shared" ca="1" si="10"/>
        <v>#N/A</v>
      </c>
      <c r="T35" s="140" t="e">
        <f t="shared" ca="1" si="10"/>
        <v>#N/A</v>
      </c>
      <c r="U35" s="140" t="e">
        <f t="shared" ca="1" si="10"/>
        <v>#N/A</v>
      </c>
      <c r="V35" s="140" t="e">
        <f t="shared" ca="1" si="10"/>
        <v>#N/A</v>
      </c>
      <c r="W35" s="140" t="e">
        <f t="shared" ca="1" si="10"/>
        <v>#N/A</v>
      </c>
      <c r="X35" s="140" t="e">
        <f t="shared" ca="1" si="10"/>
        <v>#N/A</v>
      </c>
      <c r="Y35" s="140" t="e">
        <f t="shared" ca="1" si="10"/>
        <v>#N/A</v>
      </c>
      <c r="Z35" s="140" t="e">
        <f t="shared" ca="1" si="10"/>
        <v>#N/A</v>
      </c>
      <c r="AA35" s="140" t="e">
        <f t="shared" ca="1" si="10"/>
        <v>#N/A</v>
      </c>
      <c r="AB35" s="140" t="e">
        <f t="shared" ca="1" si="10"/>
        <v>#N/A</v>
      </c>
      <c r="AC35" s="140" t="e">
        <f t="shared" ca="1" si="10"/>
        <v>#N/A</v>
      </c>
      <c r="AD35" s="140" t="e">
        <f t="shared" ca="1" si="10"/>
        <v>#N/A</v>
      </c>
      <c r="AE35" s="140" t="e">
        <f t="shared" ca="1" si="10"/>
        <v>#N/A</v>
      </c>
      <c r="AF35" s="140" t="e">
        <f t="shared" ca="1" si="10"/>
        <v>#N/A</v>
      </c>
      <c r="AG35" s="140" t="e">
        <f t="shared" ca="1" si="10"/>
        <v>#N/A</v>
      </c>
      <c r="AH35" s="140" t="e">
        <f t="shared" ca="1" si="10"/>
        <v>#N/A</v>
      </c>
      <c r="AI35" s="140" t="e">
        <f t="shared" ca="1" si="10"/>
        <v>#N/A</v>
      </c>
      <c r="AJ35" s="140" t="e">
        <f t="shared" ca="1" si="10"/>
        <v>#N/A</v>
      </c>
      <c r="AK35" s="140" t="e">
        <f t="shared" ca="1" si="10"/>
        <v>#N/A</v>
      </c>
      <c r="AL35" s="140" t="e">
        <f t="shared" ca="1" si="10"/>
        <v>#N/A</v>
      </c>
      <c r="AM35" s="140" t="e">
        <f t="shared" ca="1" si="10"/>
        <v>#N/A</v>
      </c>
      <c r="AN35" s="140" t="e">
        <f t="shared" ca="1" si="10"/>
        <v>#N/A</v>
      </c>
      <c r="AO35" s="140" t="e">
        <f t="shared" ca="1" si="10"/>
        <v>#N/A</v>
      </c>
      <c r="AP35" s="140" t="e">
        <f t="shared" ca="1" si="10"/>
        <v>#N/A</v>
      </c>
      <c r="AQ35" s="140" t="e">
        <f t="shared" ca="1" si="10"/>
        <v>#N/A</v>
      </c>
      <c r="AR35" s="140" t="e">
        <f t="shared" ca="1" si="10"/>
        <v>#N/A</v>
      </c>
    </row>
    <row r="36" spans="1:44" x14ac:dyDescent="0.25">
      <c r="A36" s="142" t="s">
        <v>7</v>
      </c>
      <c r="B36" s="140"/>
      <c r="C36" s="140"/>
      <c r="D36" s="141"/>
      <c r="E36" s="140">
        <f t="shared" ref="E36:AR36" ca="1" si="11">IF(E20&gt;TODAY(), #N/A, COUNTIF(INDEX(Burndown,,(E19-1)*BurndownColumns+StatusColumn), "=In Progress"))</f>
        <v>0</v>
      </c>
      <c r="F36" s="140">
        <f t="shared" ca="1" si="11"/>
        <v>1</v>
      </c>
      <c r="G36" s="140">
        <f t="shared" ca="1" si="11"/>
        <v>1</v>
      </c>
      <c r="H36" s="140">
        <f t="shared" ca="1" si="11"/>
        <v>1</v>
      </c>
      <c r="I36" s="140">
        <f t="shared" ca="1" si="11"/>
        <v>2</v>
      </c>
      <c r="J36" s="140">
        <f t="shared" ca="1" si="11"/>
        <v>2</v>
      </c>
      <c r="K36" s="140" t="e">
        <f t="shared" ca="1" si="11"/>
        <v>#N/A</v>
      </c>
      <c r="L36" s="140" t="e">
        <f t="shared" ca="1" si="11"/>
        <v>#N/A</v>
      </c>
      <c r="M36" s="140" t="e">
        <f t="shared" ca="1" si="11"/>
        <v>#N/A</v>
      </c>
      <c r="N36" s="140" t="e">
        <f t="shared" ca="1" si="11"/>
        <v>#N/A</v>
      </c>
      <c r="O36" s="140" t="e">
        <f t="shared" ca="1" si="11"/>
        <v>#N/A</v>
      </c>
      <c r="P36" s="140" t="e">
        <f t="shared" ca="1" si="11"/>
        <v>#N/A</v>
      </c>
      <c r="Q36" s="140" t="e">
        <f t="shared" ca="1" si="11"/>
        <v>#N/A</v>
      </c>
      <c r="R36" s="140" t="e">
        <f t="shared" ca="1" si="11"/>
        <v>#N/A</v>
      </c>
      <c r="S36" s="140" t="e">
        <f t="shared" ca="1" si="11"/>
        <v>#N/A</v>
      </c>
      <c r="T36" s="140" t="e">
        <f t="shared" ca="1" si="11"/>
        <v>#N/A</v>
      </c>
      <c r="U36" s="140" t="e">
        <f t="shared" ca="1" si="11"/>
        <v>#N/A</v>
      </c>
      <c r="V36" s="140" t="e">
        <f t="shared" ca="1" si="11"/>
        <v>#N/A</v>
      </c>
      <c r="W36" s="140" t="e">
        <f t="shared" ca="1" si="11"/>
        <v>#N/A</v>
      </c>
      <c r="X36" s="140" t="e">
        <f t="shared" ca="1" si="11"/>
        <v>#N/A</v>
      </c>
      <c r="Y36" s="140" t="e">
        <f t="shared" ca="1" si="11"/>
        <v>#N/A</v>
      </c>
      <c r="Z36" s="140" t="e">
        <f t="shared" ca="1" si="11"/>
        <v>#N/A</v>
      </c>
      <c r="AA36" s="140" t="e">
        <f t="shared" ca="1" si="11"/>
        <v>#N/A</v>
      </c>
      <c r="AB36" s="140" t="e">
        <f t="shared" ca="1" si="11"/>
        <v>#N/A</v>
      </c>
      <c r="AC36" s="140" t="e">
        <f t="shared" ca="1" si="11"/>
        <v>#N/A</v>
      </c>
      <c r="AD36" s="140" t="e">
        <f t="shared" ca="1" si="11"/>
        <v>#N/A</v>
      </c>
      <c r="AE36" s="140" t="e">
        <f t="shared" ca="1" si="11"/>
        <v>#N/A</v>
      </c>
      <c r="AF36" s="140" t="e">
        <f t="shared" ca="1" si="11"/>
        <v>#N/A</v>
      </c>
      <c r="AG36" s="140" t="e">
        <f t="shared" ca="1" si="11"/>
        <v>#N/A</v>
      </c>
      <c r="AH36" s="135" t="e">
        <f t="shared" ca="1" si="11"/>
        <v>#N/A</v>
      </c>
      <c r="AI36" s="143" t="e">
        <f t="shared" ca="1" si="11"/>
        <v>#N/A</v>
      </c>
      <c r="AJ36" s="143" t="e">
        <f t="shared" ca="1" si="11"/>
        <v>#N/A</v>
      </c>
      <c r="AK36" s="143" t="e">
        <f t="shared" ca="1" si="11"/>
        <v>#N/A</v>
      </c>
      <c r="AL36" s="143" t="e">
        <f t="shared" ca="1" si="11"/>
        <v>#N/A</v>
      </c>
      <c r="AM36" s="143" t="e">
        <f t="shared" ca="1" si="11"/>
        <v>#N/A</v>
      </c>
      <c r="AN36" s="143" t="e">
        <f t="shared" ca="1" si="11"/>
        <v>#N/A</v>
      </c>
      <c r="AO36" s="143" t="e">
        <f t="shared" ca="1" si="11"/>
        <v>#N/A</v>
      </c>
      <c r="AP36" s="143" t="e">
        <f t="shared" ca="1" si="11"/>
        <v>#N/A</v>
      </c>
      <c r="AQ36" s="143" t="e">
        <f t="shared" ca="1" si="11"/>
        <v>#N/A</v>
      </c>
      <c r="AR36" s="143" t="e">
        <f t="shared" ca="1" si="11"/>
        <v>#N/A</v>
      </c>
    </row>
    <row r="37" spans="1:44" x14ac:dyDescent="0.25">
      <c r="A37" s="142" t="s">
        <v>8</v>
      </c>
      <c r="B37" s="140"/>
      <c r="C37" s="140"/>
      <c r="D37" s="141"/>
      <c r="E37" s="140">
        <f t="shared" ref="E37:AR37" ca="1" si="12">IF(E20&gt;TODAY(), #N/A, COUNTIF(INDEX(Burndown,,(E19-1)*BurndownColumns+StatusColumn), "=Complete"))</f>
        <v>3</v>
      </c>
      <c r="F37" s="140">
        <f t="shared" ca="1" si="12"/>
        <v>3</v>
      </c>
      <c r="G37" s="140">
        <f t="shared" ca="1" si="12"/>
        <v>3</v>
      </c>
      <c r="H37" s="140">
        <f t="shared" ca="1" si="12"/>
        <v>3</v>
      </c>
      <c r="I37" s="140">
        <f t="shared" ca="1" si="12"/>
        <v>4</v>
      </c>
      <c r="J37" s="140">
        <f t="shared" ca="1" si="12"/>
        <v>5</v>
      </c>
      <c r="K37" s="140" t="e">
        <f t="shared" ca="1" si="12"/>
        <v>#N/A</v>
      </c>
      <c r="L37" s="140" t="e">
        <f t="shared" ca="1" si="12"/>
        <v>#N/A</v>
      </c>
      <c r="M37" s="140" t="e">
        <f t="shared" ca="1" si="12"/>
        <v>#N/A</v>
      </c>
      <c r="N37" s="140" t="e">
        <f t="shared" ca="1" si="12"/>
        <v>#N/A</v>
      </c>
      <c r="O37" s="140" t="e">
        <f t="shared" ca="1" si="12"/>
        <v>#N/A</v>
      </c>
      <c r="P37" s="140" t="e">
        <f t="shared" ca="1" si="12"/>
        <v>#N/A</v>
      </c>
      <c r="Q37" s="140" t="e">
        <f t="shared" ca="1" si="12"/>
        <v>#N/A</v>
      </c>
      <c r="R37" s="140" t="e">
        <f t="shared" ca="1" si="12"/>
        <v>#N/A</v>
      </c>
      <c r="S37" s="140" t="e">
        <f t="shared" ca="1" si="12"/>
        <v>#N/A</v>
      </c>
      <c r="T37" s="140" t="e">
        <f t="shared" ca="1" si="12"/>
        <v>#N/A</v>
      </c>
      <c r="U37" s="140" t="e">
        <f t="shared" ca="1" si="12"/>
        <v>#N/A</v>
      </c>
      <c r="V37" s="140" t="e">
        <f t="shared" ca="1" si="12"/>
        <v>#N/A</v>
      </c>
      <c r="W37" s="140" t="e">
        <f t="shared" ca="1" si="12"/>
        <v>#N/A</v>
      </c>
      <c r="X37" s="140" t="e">
        <f t="shared" ca="1" si="12"/>
        <v>#N/A</v>
      </c>
      <c r="Y37" s="140" t="e">
        <f t="shared" ca="1" si="12"/>
        <v>#N/A</v>
      </c>
      <c r="Z37" s="140" t="e">
        <f t="shared" ca="1" si="12"/>
        <v>#N/A</v>
      </c>
      <c r="AA37" s="140" t="e">
        <f t="shared" ca="1" si="12"/>
        <v>#N/A</v>
      </c>
      <c r="AB37" s="140" t="e">
        <f t="shared" ca="1" si="12"/>
        <v>#N/A</v>
      </c>
      <c r="AC37" s="140" t="e">
        <f t="shared" ca="1" si="12"/>
        <v>#N/A</v>
      </c>
      <c r="AD37" s="140" t="e">
        <f t="shared" ca="1" si="12"/>
        <v>#N/A</v>
      </c>
      <c r="AE37" s="140" t="e">
        <f t="shared" ca="1" si="12"/>
        <v>#N/A</v>
      </c>
      <c r="AF37" s="140" t="e">
        <f t="shared" ca="1" si="12"/>
        <v>#N/A</v>
      </c>
      <c r="AG37" s="140" t="e">
        <f t="shared" ca="1" si="12"/>
        <v>#N/A</v>
      </c>
      <c r="AH37" s="135" t="e">
        <f t="shared" ca="1" si="12"/>
        <v>#N/A</v>
      </c>
      <c r="AI37" s="143" t="e">
        <f t="shared" ca="1" si="12"/>
        <v>#N/A</v>
      </c>
      <c r="AJ37" s="143" t="e">
        <f t="shared" ca="1" si="12"/>
        <v>#N/A</v>
      </c>
      <c r="AK37" s="143" t="e">
        <f t="shared" ca="1" si="12"/>
        <v>#N/A</v>
      </c>
      <c r="AL37" s="143" t="e">
        <f t="shared" ca="1" si="12"/>
        <v>#N/A</v>
      </c>
      <c r="AM37" s="143" t="e">
        <f t="shared" ca="1" si="12"/>
        <v>#N/A</v>
      </c>
      <c r="AN37" s="143" t="e">
        <f t="shared" ca="1" si="12"/>
        <v>#N/A</v>
      </c>
      <c r="AO37" s="143" t="e">
        <f t="shared" ca="1" si="12"/>
        <v>#N/A</v>
      </c>
      <c r="AP37" s="143" t="e">
        <f t="shared" ca="1" si="12"/>
        <v>#N/A</v>
      </c>
      <c r="AQ37" s="143" t="e">
        <f t="shared" ca="1" si="12"/>
        <v>#N/A</v>
      </c>
      <c r="AR37" s="143" t="e">
        <f t="shared" ca="1" si="12"/>
        <v>#N/A</v>
      </c>
    </row>
    <row r="38" spans="1:44" x14ac:dyDescent="0.25">
      <c r="A38" s="140"/>
      <c r="B38" s="140"/>
      <c r="C38" s="140"/>
      <c r="D38" s="140"/>
      <c r="E38" s="140"/>
      <c r="F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row>
    <row r="39" spans="1:44" x14ac:dyDescent="0.25">
      <c r="A39" s="142" t="s">
        <v>26</v>
      </c>
      <c r="B39" s="140"/>
      <c r="C39" s="140"/>
      <c r="D39" s="140"/>
      <c r="E39" s="134"/>
      <c r="F39" s="140"/>
      <c r="G39" s="142" t="s">
        <v>25</v>
      </c>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row>
    <row r="40" spans="1:44" ht="13.5" customHeight="1" x14ac:dyDescent="0.25">
      <c r="A40" s="142"/>
      <c r="B40" s="140" t="s">
        <v>27</v>
      </c>
      <c r="C40" s="140"/>
      <c r="D40" s="140"/>
      <c r="E40" s="140">
        <v>0</v>
      </c>
      <c r="F40" s="140"/>
      <c r="G40" s="140" t="s">
        <v>105</v>
      </c>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row>
    <row r="41" spans="1:44" ht="13.5" customHeight="1" x14ac:dyDescent="0.25">
      <c r="A41" s="142"/>
      <c r="B41" s="140" t="s">
        <v>106</v>
      </c>
      <c r="C41" s="140"/>
      <c r="D41" s="140"/>
      <c r="E41" s="140">
        <v>0</v>
      </c>
      <c r="F41" s="140"/>
      <c r="G41" s="140" t="s">
        <v>107</v>
      </c>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row>
    <row r="42" spans="1:44" x14ac:dyDescent="0.25">
      <c r="A42" s="142"/>
      <c r="B42" s="140"/>
      <c r="C42" s="140"/>
      <c r="D42" s="140"/>
      <c r="E42" s="134"/>
      <c r="F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row>
    <row r="43" spans="1:44" x14ac:dyDescent="0.25">
      <c r="A43" s="142" t="s">
        <v>18</v>
      </c>
      <c r="B43" s="140"/>
      <c r="C43" s="140"/>
      <c r="D43" s="140"/>
      <c r="E43" s="134"/>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row>
    <row r="44" spans="1:44" x14ac:dyDescent="0.25">
      <c r="A44" s="140"/>
      <c r="B44" s="140" t="s">
        <v>16</v>
      </c>
      <c r="C44" s="140"/>
      <c r="D44" s="140"/>
      <c r="E44" s="140">
        <v>3</v>
      </c>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row>
    <row r="45" spans="1:44" x14ac:dyDescent="0.25">
      <c r="A45" s="140"/>
      <c r="B45" s="140" t="s">
        <v>20</v>
      </c>
      <c r="C45" s="140"/>
      <c r="D45" s="140"/>
      <c r="E45" s="140">
        <v>1</v>
      </c>
      <c r="F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row>
    <row r="46" spans="1:44" x14ac:dyDescent="0.25">
      <c r="A46" s="140"/>
      <c r="B46" s="140" t="s">
        <v>19</v>
      </c>
      <c r="C46" s="140"/>
      <c r="D46" s="140"/>
      <c r="E46" s="140">
        <v>2</v>
      </c>
    </row>
    <row r="47" spans="1:44" x14ac:dyDescent="0.25">
      <c r="A47" s="140"/>
      <c r="B47" s="140" t="s">
        <v>17</v>
      </c>
      <c r="C47" s="140"/>
      <c r="D47" s="140"/>
      <c r="E47" s="140">
        <v>3</v>
      </c>
    </row>
    <row r="48" spans="1:44" x14ac:dyDescent="0.25">
      <c r="A48" s="140"/>
      <c r="C48" s="140"/>
      <c r="D48" s="140"/>
    </row>
    <row r="49" spans="1:1" x14ac:dyDescent="0.25">
      <c r="A49" s="142"/>
    </row>
    <row r="50" spans="1:1" x14ac:dyDescent="0.25">
      <c r="A50" s="140"/>
    </row>
    <row r="51" spans="1:1" x14ac:dyDescent="0.25">
      <c r="A51" s="140"/>
    </row>
  </sheetData>
  <phoneticPr fontId="2" type="noConversion"/>
  <conditionalFormatting sqref="D19:AR21">
    <cfRule type="expression" dxfId="41"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I51"/>
  <sheetViews>
    <sheetView workbookViewId="0">
      <selection activeCell="D12" sqref="D12"/>
    </sheetView>
  </sheetViews>
  <sheetFormatPr defaultColWidth="9.08984375" defaultRowHeight="12.5" x14ac:dyDescent="0.25"/>
  <cols>
    <col min="1" max="1" width="2.6328125" style="8" customWidth="1"/>
    <col min="2" max="2" width="18.453125" style="8" bestFit="1" customWidth="1"/>
    <col min="3" max="4" width="14.08984375" style="8" bestFit="1" customWidth="1"/>
    <col min="5" max="6" width="15.08984375" style="8" bestFit="1" customWidth="1"/>
    <col min="7" max="7" width="10.90625" style="8" customWidth="1"/>
    <col min="8" max="8" width="28.6328125" style="8" customWidth="1"/>
    <col min="9" max="9" width="2.90625" style="8" bestFit="1" customWidth="1"/>
    <col min="10" max="16384" width="9.08984375" style="8"/>
  </cols>
  <sheetData>
    <row r="4" spans="2:8" x14ac:dyDescent="0.25">
      <c r="B4" s="91" t="s">
        <v>59</v>
      </c>
    </row>
    <row r="5" spans="2:8" ht="13" thickBot="1" x14ac:dyDescent="0.3"/>
    <row r="6" spans="2:8" ht="13.5" thickTop="1" thickBot="1" x14ac:dyDescent="0.3">
      <c r="B6" s="91" t="s">
        <v>47</v>
      </c>
      <c r="C6" s="92" t="s">
        <v>35</v>
      </c>
      <c r="D6" s="93" t="s">
        <v>109</v>
      </c>
      <c r="E6" s="94" t="s">
        <v>36</v>
      </c>
      <c r="F6" s="95" t="s">
        <v>37</v>
      </c>
      <c r="G6" s="95" t="s">
        <v>38</v>
      </c>
      <c r="H6" s="96" t="s">
        <v>39</v>
      </c>
    </row>
    <row r="7" spans="2:8" ht="13" thickTop="1" x14ac:dyDescent="0.25">
      <c r="C7" s="97"/>
      <c r="D7" s="98"/>
      <c r="E7" s="99"/>
      <c r="F7" s="100"/>
      <c r="G7" s="100"/>
      <c r="H7" s="101"/>
    </row>
    <row r="8" spans="2:8" x14ac:dyDescent="0.25">
      <c r="C8" s="176" t="s">
        <v>145</v>
      </c>
      <c r="D8" s="177" t="s">
        <v>145</v>
      </c>
      <c r="E8" s="102"/>
      <c r="F8" s="103"/>
      <c r="G8" s="102"/>
      <c r="H8" s="104"/>
    </row>
    <row r="9" spans="2:8" x14ac:dyDescent="0.25">
      <c r="C9" s="176" t="s">
        <v>146</v>
      </c>
      <c r="D9" s="177" t="s">
        <v>146</v>
      </c>
      <c r="E9" s="105"/>
      <c r="F9" s="105"/>
      <c r="G9" s="105"/>
      <c r="H9" s="107"/>
    </row>
    <row r="10" spans="2:8" ht="11.25" customHeight="1" x14ac:dyDescent="0.25">
      <c r="C10" s="176"/>
      <c r="D10" s="177"/>
      <c r="E10" s="105"/>
      <c r="F10" s="105"/>
      <c r="G10" s="105"/>
      <c r="H10" s="107"/>
    </row>
    <row r="11" spans="2:8" x14ac:dyDescent="0.25">
      <c r="C11" s="175"/>
      <c r="D11" s="175"/>
      <c r="E11" s="105"/>
      <c r="F11" s="105"/>
      <c r="G11" s="109"/>
      <c r="H11" s="107"/>
    </row>
    <row r="12" spans="2:8" x14ac:dyDescent="0.25">
      <c r="C12" s="176"/>
      <c r="D12" s="177"/>
      <c r="E12" s="105"/>
      <c r="F12" s="105"/>
      <c r="G12" s="111"/>
      <c r="H12" s="107"/>
    </row>
    <row r="13" spans="2:8" x14ac:dyDescent="0.25">
      <c r="C13" s="176"/>
      <c r="D13" s="176"/>
      <c r="E13" s="105"/>
      <c r="F13" s="105"/>
      <c r="G13" s="109"/>
      <c r="H13" s="107"/>
    </row>
    <row r="14" spans="2:8" x14ac:dyDescent="0.25">
      <c r="C14" s="176"/>
      <c r="D14" s="176"/>
      <c r="E14" s="105"/>
      <c r="F14" s="105"/>
      <c r="G14" s="111"/>
      <c r="H14" s="107"/>
    </row>
    <row r="15" spans="2:8" x14ac:dyDescent="0.25">
      <c r="C15" s="176"/>
      <c r="D15" s="176"/>
      <c r="E15" s="105"/>
      <c r="F15" s="105"/>
      <c r="G15" s="111"/>
      <c r="H15" s="107"/>
    </row>
    <row r="16" spans="2:8" x14ac:dyDescent="0.25">
      <c r="C16" s="176"/>
      <c r="D16" s="176"/>
      <c r="E16" s="112"/>
      <c r="F16" s="110"/>
      <c r="G16" s="111"/>
      <c r="H16" s="113"/>
    </row>
    <row r="17" spans="3:8" x14ac:dyDescent="0.25">
      <c r="C17" s="175"/>
      <c r="D17" s="175"/>
      <c r="E17" s="114"/>
      <c r="F17" s="114"/>
      <c r="G17" s="114"/>
      <c r="H17" s="113"/>
    </row>
    <row r="18" spans="3:8" x14ac:dyDescent="0.25">
      <c r="C18" s="108"/>
      <c r="D18" s="109"/>
      <c r="E18" s="112"/>
      <c r="F18" s="106"/>
      <c r="G18" s="114"/>
      <c r="H18" s="113"/>
    </row>
    <row r="19" spans="3:8" x14ac:dyDescent="0.25">
      <c r="C19" s="108"/>
      <c r="D19" s="109"/>
      <c r="E19" s="112"/>
      <c r="F19" s="106"/>
      <c r="G19" s="115"/>
      <c r="H19" s="113"/>
    </row>
    <row r="20" spans="3:8" x14ac:dyDescent="0.25">
      <c r="C20" s="108"/>
      <c r="D20" s="109"/>
      <c r="E20" s="112"/>
      <c r="F20" s="106"/>
      <c r="G20" s="114"/>
      <c r="H20" s="113"/>
    </row>
    <row r="21" spans="3:8" x14ac:dyDescent="0.25">
      <c r="C21" s="116"/>
      <c r="D21" s="117"/>
      <c r="E21" s="112"/>
      <c r="F21" s="106"/>
      <c r="G21" s="111"/>
      <c r="H21" s="113"/>
    </row>
    <row r="22" spans="3:8" x14ac:dyDescent="0.25">
      <c r="C22" s="108"/>
      <c r="D22" s="109"/>
      <c r="E22" s="112"/>
      <c r="F22" s="110"/>
      <c r="G22" s="111"/>
      <c r="H22" s="118"/>
    </row>
    <row r="23" spans="3:8" x14ac:dyDescent="0.25">
      <c r="C23" s="108"/>
      <c r="D23" s="109"/>
      <c r="E23" s="112"/>
      <c r="F23" s="110"/>
      <c r="G23" s="114"/>
      <c r="H23" s="118"/>
    </row>
    <row r="24" spans="3:8" x14ac:dyDescent="0.25">
      <c r="C24" s="119"/>
      <c r="D24" s="120"/>
      <c r="E24" s="121"/>
      <c r="F24" s="122"/>
      <c r="G24" s="123"/>
      <c r="H24" s="124"/>
    </row>
    <row r="25" spans="3:8" ht="13" thickBot="1" x14ac:dyDescent="0.3">
      <c r="C25" s="125"/>
      <c r="D25" s="126"/>
      <c r="E25" s="126"/>
      <c r="F25" s="127"/>
      <c r="G25" s="128"/>
      <c r="H25" s="129"/>
    </row>
    <row r="26" spans="3:8" ht="13" thickTop="1" x14ac:dyDescent="0.25"/>
    <row r="41" spans="7:9" x14ac:dyDescent="0.25">
      <c r="G41" s="91"/>
      <c r="I41" s="130"/>
    </row>
    <row r="43" spans="7:9" x14ac:dyDescent="0.25">
      <c r="G43" s="91"/>
      <c r="H43" s="130"/>
      <c r="I43" s="130"/>
    </row>
    <row r="51" spans="4:4" x14ac:dyDescent="0.25">
      <c r="D51" s="1"/>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R44"/>
  <sheetViews>
    <sheetView showGridLines="0" workbookViewId="0">
      <pane xSplit="7" ySplit="6" topLeftCell="H7" activePane="bottomRight" state="frozen"/>
      <selection activeCell="B20" sqref="B20"/>
      <selection pane="topRight" activeCell="B20" sqref="B20"/>
      <selection pane="bottomLeft" activeCell="B20" sqref="B20"/>
      <selection pane="bottomRight" activeCell="G17" sqref="G17"/>
    </sheetView>
  </sheetViews>
  <sheetFormatPr defaultColWidth="9.08984375" defaultRowHeight="12.5" x14ac:dyDescent="0.25"/>
  <cols>
    <col min="1" max="1" width="2.36328125" style="8" customWidth="1"/>
    <col min="2" max="2" width="28" style="9" customWidth="1"/>
    <col min="3" max="4" width="6.54296875" style="9" bestFit="1" customWidth="1"/>
    <col min="5" max="5" width="15.6328125" style="8" customWidth="1"/>
    <col min="6" max="7" width="11.6328125" style="8" customWidth="1"/>
    <col min="8" max="8" width="1.90625" style="8" customWidth="1"/>
    <col min="9" max="9" width="6.90625" style="8" bestFit="1" customWidth="1"/>
    <col min="10" max="10" width="3.08984375" style="8" customWidth="1"/>
    <col min="11" max="15" width="3.6328125" style="8" customWidth="1"/>
    <col min="16" max="16" width="6.90625" style="8" bestFit="1" customWidth="1"/>
    <col min="17" max="22" width="3.6328125" style="8" customWidth="1"/>
    <col min="23" max="23" width="7.08984375" style="8" bestFit="1" customWidth="1"/>
    <col min="24" max="29" width="3.6328125" style="8" customWidth="1"/>
    <col min="30" max="30" width="7" style="8" bestFit="1" customWidth="1"/>
    <col min="31" max="36" width="3.6328125" style="8" customWidth="1"/>
    <col min="37" max="37" width="4" style="8" customWidth="1"/>
    <col min="38" max="42" width="3" style="8" customWidth="1"/>
    <col min="43" max="43" width="19" style="8" customWidth="1"/>
    <col min="44" max="44" width="9.08984375" style="8"/>
    <col min="45" max="16384" width="9.08984375" style="1"/>
  </cols>
  <sheetData>
    <row r="1" spans="2:43" ht="13" thickBot="1" x14ac:dyDescent="0.3"/>
    <row r="2" spans="2:43" x14ac:dyDescent="0.25">
      <c r="B2" s="10" t="s">
        <v>49</v>
      </c>
      <c r="C2" s="11"/>
      <c r="D2" s="12" t="str">
        <f ca="1">TEXT(E2,"ddd")</f>
        <v>Tue</v>
      </c>
      <c r="E2" s="13">
        <f ca="1">TODAY()</f>
        <v>43081</v>
      </c>
    </row>
    <row r="3" spans="2:43" ht="13" thickBot="1" x14ac:dyDescent="0.3">
      <c r="B3" s="14" t="s">
        <v>48</v>
      </c>
      <c r="C3" s="15"/>
      <c r="D3" s="16" t="str">
        <f>TEXT(E3,"ddd")</f>
        <v>Thu</v>
      </c>
      <c r="E3" s="17">
        <v>43076</v>
      </c>
    </row>
    <row r="4" spans="2:43" ht="13" thickBot="1" x14ac:dyDescent="0.3">
      <c r="D4" s="8"/>
      <c r="E4" s="18"/>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row>
    <row r="5" spans="2:43" ht="15.5" thickBot="1" x14ac:dyDescent="0.35">
      <c r="B5" s="230" t="s">
        <v>52</v>
      </c>
      <c r="C5" s="231"/>
      <c r="D5" s="231"/>
      <c r="E5" s="231"/>
      <c r="F5" s="231"/>
      <c r="G5" s="232"/>
      <c r="I5" s="20"/>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3"/>
      <c r="AL5" s="22"/>
      <c r="AM5" s="22"/>
      <c r="AN5" s="22"/>
      <c r="AO5" s="22"/>
      <c r="AP5" s="22"/>
      <c r="AQ5" s="178"/>
    </row>
    <row r="6" spans="2:43" ht="13" thickBot="1" x14ac:dyDescent="0.3">
      <c r="B6" s="179" t="s">
        <v>143</v>
      </c>
      <c r="C6" s="180">
        <v>8</v>
      </c>
      <c r="D6" s="181"/>
      <c r="E6" s="25" t="s">
        <v>58</v>
      </c>
      <c r="F6" s="26">
        <v>30</v>
      </c>
      <c r="G6" s="27"/>
      <c r="I6" s="28">
        <f>IF(D3="Mon",E3-0,IF(D3="Tue",E3-1,IF(D3="Wed",E3-2,IF(D3="Thu",E3-3,IF(D3="Fri",E3-4,IF(D3="Sat",E3-5,IF(D3="Sun",E3-6,"False")))))))</f>
        <v>43073</v>
      </c>
      <c r="J6" s="29">
        <f t="shared" ref="J6:O6" si="0">I6+1</f>
        <v>43074</v>
      </c>
      <c r="K6" s="29">
        <f t="shared" si="0"/>
        <v>43075</v>
      </c>
      <c r="L6" s="29">
        <f t="shared" si="0"/>
        <v>43076</v>
      </c>
      <c r="M6" s="29">
        <f t="shared" si="0"/>
        <v>43077</v>
      </c>
      <c r="N6" s="30">
        <f t="shared" si="0"/>
        <v>43078</v>
      </c>
      <c r="O6" s="30">
        <f t="shared" si="0"/>
        <v>43079</v>
      </c>
      <c r="P6" s="31">
        <f>I6+7</f>
        <v>43080</v>
      </c>
      <c r="Q6" s="29">
        <f t="shared" ref="Q6:V6" si="1">P6+1</f>
        <v>43081</v>
      </c>
      <c r="R6" s="29">
        <f t="shared" si="1"/>
        <v>43082</v>
      </c>
      <c r="S6" s="29">
        <f t="shared" si="1"/>
        <v>43083</v>
      </c>
      <c r="T6" s="29">
        <f t="shared" si="1"/>
        <v>43084</v>
      </c>
      <c r="U6" s="30">
        <f t="shared" si="1"/>
        <v>43085</v>
      </c>
      <c r="V6" s="30">
        <f t="shared" si="1"/>
        <v>43086</v>
      </c>
      <c r="W6" s="31">
        <f>P6+7</f>
        <v>43087</v>
      </c>
      <c r="X6" s="29">
        <f t="shared" ref="X6:AC6" si="2">W6+1</f>
        <v>43088</v>
      </c>
      <c r="Y6" s="29">
        <f t="shared" si="2"/>
        <v>43089</v>
      </c>
      <c r="Z6" s="29">
        <f t="shared" si="2"/>
        <v>43090</v>
      </c>
      <c r="AA6" s="29">
        <f t="shared" si="2"/>
        <v>43091</v>
      </c>
      <c r="AB6" s="30">
        <f t="shared" si="2"/>
        <v>43092</v>
      </c>
      <c r="AC6" s="30">
        <f t="shared" si="2"/>
        <v>43093</v>
      </c>
      <c r="AD6" s="31">
        <f>W6+7</f>
        <v>43094</v>
      </c>
      <c r="AE6" s="29">
        <f t="shared" ref="AE6:AJ6" si="3">AD6+1</f>
        <v>43095</v>
      </c>
      <c r="AF6" s="29">
        <f t="shared" si="3"/>
        <v>43096</v>
      </c>
      <c r="AG6" s="29">
        <f t="shared" si="3"/>
        <v>43097</v>
      </c>
      <c r="AH6" s="29">
        <f t="shared" si="3"/>
        <v>43098</v>
      </c>
      <c r="AI6" s="30">
        <f t="shared" si="3"/>
        <v>43099</v>
      </c>
      <c r="AJ6" s="30">
        <f t="shared" si="3"/>
        <v>43100</v>
      </c>
      <c r="AK6" s="233"/>
      <c r="AL6" s="234"/>
      <c r="AM6" s="234"/>
      <c r="AN6" s="234"/>
      <c r="AO6" s="234"/>
      <c r="AP6" s="234"/>
      <c r="AQ6" s="178"/>
    </row>
    <row r="7" spans="2:43" ht="29.25" customHeight="1" thickBot="1" x14ac:dyDescent="0.3">
      <c r="B7" s="32"/>
      <c r="C7" s="33"/>
      <c r="D7" s="24"/>
      <c r="E7" s="34" t="s">
        <v>50</v>
      </c>
      <c r="F7" s="34" t="s">
        <v>56</v>
      </c>
      <c r="G7" s="35" t="s">
        <v>51</v>
      </c>
      <c r="I7" s="36" t="s">
        <v>33</v>
      </c>
      <c r="J7" s="37" t="s">
        <v>40</v>
      </c>
      <c r="K7" s="37" t="s">
        <v>41</v>
      </c>
      <c r="L7" s="37" t="s">
        <v>40</v>
      </c>
      <c r="M7" s="37" t="s">
        <v>42</v>
      </c>
      <c r="N7" s="38" t="s">
        <v>34</v>
      </c>
      <c r="O7" s="39" t="s">
        <v>34</v>
      </c>
      <c r="P7" s="36" t="s">
        <v>33</v>
      </c>
      <c r="Q7" s="37" t="s">
        <v>40</v>
      </c>
      <c r="R7" s="37" t="s">
        <v>41</v>
      </c>
      <c r="S7" s="37" t="s">
        <v>40</v>
      </c>
      <c r="T7" s="37" t="s">
        <v>42</v>
      </c>
      <c r="U7" s="38" t="s">
        <v>34</v>
      </c>
      <c r="V7" s="39" t="s">
        <v>34</v>
      </c>
      <c r="W7" s="36" t="s">
        <v>33</v>
      </c>
      <c r="X7" s="37" t="s">
        <v>40</v>
      </c>
      <c r="Y7" s="37" t="s">
        <v>41</v>
      </c>
      <c r="Z7" s="37" t="s">
        <v>40</v>
      </c>
      <c r="AA7" s="37" t="s">
        <v>42</v>
      </c>
      <c r="AB7" s="38" t="s">
        <v>34</v>
      </c>
      <c r="AC7" s="39" t="s">
        <v>34</v>
      </c>
      <c r="AD7" s="36" t="s">
        <v>33</v>
      </c>
      <c r="AE7" s="37" t="s">
        <v>40</v>
      </c>
      <c r="AF7" s="37" t="s">
        <v>41</v>
      </c>
      <c r="AG7" s="37" t="s">
        <v>40</v>
      </c>
      <c r="AH7" s="37" t="s">
        <v>42</v>
      </c>
      <c r="AI7" s="38" t="s">
        <v>34</v>
      </c>
      <c r="AJ7" s="39" t="s">
        <v>34</v>
      </c>
      <c r="AK7" s="237" t="s">
        <v>141</v>
      </c>
      <c r="AL7" s="238"/>
      <c r="AM7" s="238"/>
      <c r="AN7" s="238"/>
      <c r="AO7" s="238"/>
      <c r="AP7" s="239"/>
      <c r="AQ7" s="182" t="s">
        <v>142</v>
      </c>
    </row>
    <row r="8" spans="2:43" ht="13" thickBot="1" x14ac:dyDescent="0.3">
      <c r="B8" s="40" t="s">
        <v>43</v>
      </c>
      <c r="C8" s="41">
        <f>SUM(G8:G24)</f>
        <v>90</v>
      </c>
      <c r="D8" s="42"/>
      <c r="E8" s="43"/>
      <c r="F8" s="44"/>
      <c r="G8" s="45"/>
      <c r="H8" s="46"/>
      <c r="I8" s="52"/>
      <c r="J8" s="53"/>
      <c r="K8" s="53"/>
      <c r="L8" s="53"/>
      <c r="M8" s="53"/>
      <c r="N8" s="47"/>
      <c r="O8" s="48"/>
      <c r="P8" s="52"/>
      <c r="Q8" s="53"/>
      <c r="R8" s="53"/>
      <c r="S8" s="53"/>
      <c r="T8" s="53"/>
      <c r="U8" s="47"/>
      <c r="V8" s="48"/>
      <c r="W8" s="52"/>
      <c r="X8" s="53"/>
      <c r="Y8" s="53"/>
      <c r="Z8" s="53"/>
      <c r="AA8" s="53"/>
      <c r="AB8" s="47"/>
      <c r="AC8" s="48"/>
      <c r="AD8" s="52"/>
      <c r="AE8" s="53"/>
      <c r="AF8" s="53"/>
      <c r="AG8" s="53"/>
      <c r="AH8" s="53"/>
      <c r="AI8" s="47"/>
      <c r="AJ8" s="48"/>
      <c r="AK8" s="235"/>
      <c r="AL8" s="236"/>
      <c r="AM8" s="236"/>
      <c r="AN8" s="236"/>
      <c r="AO8" s="236"/>
      <c r="AP8" s="236"/>
      <c r="AQ8" s="183"/>
    </row>
    <row r="9" spans="2:43" ht="13" thickBot="1" x14ac:dyDescent="0.3">
      <c r="B9" s="49" t="s">
        <v>44</v>
      </c>
      <c r="C9" s="41">
        <f>SUM(AK8:AP24)</f>
        <v>90</v>
      </c>
      <c r="D9" s="50"/>
      <c r="E9" s="5"/>
      <c r="F9" s="51"/>
      <c r="G9" s="45"/>
      <c r="H9" s="46"/>
      <c r="I9" s="52"/>
      <c r="J9" s="53"/>
      <c r="K9" s="53"/>
      <c r="L9" s="53"/>
      <c r="M9" s="53"/>
      <c r="N9" s="54"/>
      <c r="O9" s="55"/>
      <c r="P9" s="52"/>
      <c r="Q9" s="53"/>
      <c r="R9" s="53"/>
      <c r="S9" s="53"/>
      <c r="T9" s="53"/>
      <c r="U9" s="54"/>
      <c r="V9" s="55"/>
      <c r="W9" s="52"/>
      <c r="X9" s="53"/>
      <c r="Y9" s="53"/>
      <c r="Z9" s="53"/>
      <c r="AA9" s="53"/>
      <c r="AB9" s="54"/>
      <c r="AC9" s="55"/>
      <c r="AD9" s="52"/>
      <c r="AE9" s="53"/>
      <c r="AF9" s="53"/>
      <c r="AG9" s="53"/>
      <c r="AH9" s="53"/>
      <c r="AI9" s="54"/>
      <c r="AJ9" s="55"/>
      <c r="AK9" s="235"/>
      <c r="AL9" s="236"/>
      <c r="AM9" s="236"/>
      <c r="AN9" s="236"/>
      <c r="AO9" s="236"/>
      <c r="AP9" s="236"/>
      <c r="AQ9" s="183"/>
    </row>
    <row r="10" spans="2:43" ht="13" thickBot="1" x14ac:dyDescent="0.3">
      <c r="B10" s="56" t="s">
        <v>45</v>
      </c>
      <c r="C10" s="57">
        <f>C8-C9</f>
        <v>0</v>
      </c>
      <c r="D10" s="24"/>
      <c r="E10" s="5"/>
      <c r="F10" s="51"/>
      <c r="G10" s="45"/>
      <c r="H10" s="46"/>
      <c r="I10" s="52"/>
      <c r="J10" s="53"/>
      <c r="K10" s="53"/>
      <c r="L10" s="53"/>
      <c r="M10" s="53"/>
      <c r="N10" s="54"/>
      <c r="O10" s="55"/>
      <c r="P10" s="52"/>
      <c r="Q10" s="53"/>
      <c r="R10" s="53"/>
      <c r="S10" s="53"/>
      <c r="T10" s="53"/>
      <c r="U10" s="54"/>
      <c r="V10" s="55"/>
      <c r="W10" s="52"/>
      <c r="X10" s="53"/>
      <c r="Y10" s="53"/>
      <c r="Z10" s="53"/>
      <c r="AA10" s="53"/>
      <c r="AB10" s="54"/>
      <c r="AC10" s="55"/>
      <c r="AD10" s="52"/>
      <c r="AE10" s="53"/>
      <c r="AF10" s="53"/>
      <c r="AG10" s="53"/>
      <c r="AH10" s="53"/>
      <c r="AI10" s="54"/>
      <c r="AJ10" s="55"/>
      <c r="AK10" s="235"/>
      <c r="AL10" s="236"/>
      <c r="AM10" s="236"/>
      <c r="AN10" s="236"/>
      <c r="AO10" s="236"/>
      <c r="AP10" s="236"/>
      <c r="AQ10" s="183"/>
    </row>
    <row r="11" spans="2:43" ht="13" thickBot="1" x14ac:dyDescent="0.3">
      <c r="B11" s="58"/>
      <c r="D11" s="59"/>
      <c r="E11" s="5"/>
      <c r="F11" s="51"/>
      <c r="G11" s="45"/>
      <c r="H11" s="46"/>
      <c r="I11" s="52"/>
      <c r="J11" s="53"/>
      <c r="K11" s="53"/>
      <c r="L11" s="53"/>
      <c r="M11" s="53"/>
      <c r="N11" s="54"/>
      <c r="O11" s="55"/>
      <c r="P11" s="52"/>
      <c r="Q11" s="53"/>
      <c r="R11" s="53"/>
      <c r="S11" s="53"/>
      <c r="T11" s="53"/>
      <c r="U11" s="54"/>
      <c r="V11" s="55"/>
      <c r="W11" s="52"/>
      <c r="X11" s="53"/>
      <c r="Y11" s="53"/>
      <c r="Z11" s="53"/>
      <c r="AA11" s="53"/>
      <c r="AB11" s="54"/>
      <c r="AC11" s="55"/>
      <c r="AD11" s="52"/>
      <c r="AE11" s="53"/>
      <c r="AF11" s="53"/>
      <c r="AG11" s="53"/>
      <c r="AH11" s="53"/>
      <c r="AI11" s="54"/>
      <c r="AJ11" s="55"/>
      <c r="AK11" s="235"/>
      <c r="AL11" s="236"/>
      <c r="AM11" s="236"/>
      <c r="AN11" s="236"/>
      <c r="AO11" s="236"/>
      <c r="AP11" s="236"/>
      <c r="AQ11" s="183"/>
    </row>
    <row r="12" spans="2:43" ht="13" thickBot="1" x14ac:dyDescent="0.3">
      <c r="B12" s="58"/>
      <c r="D12" s="59"/>
      <c r="E12" s="5"/>
      <c r="F12" s="51"/>
      <c r="G12" s="45"/>
      <c r="H12" s="46"/>
      <c r="I12" s="52"/>
      <c r="J12" s="53"/>
      <c r="K12" s="53"/>
      <c r="L12" s="53"/>
      <c r="M12" s="53"/>
      <c r="N12" s="54"/>
      <c r="O12" s="55"/>
      <c r="P12" s="52"/>
      <c r="Q12" s="53"/>
      <c r="R12" s="53"/>
      <c r="S12" s="53"/>
      <c r="T12" s="53"/>
      <c r="U12" s="54"/>
      <c r="V12" s="55"/>
      <c r="W12" s="52"/>
      <c r="X12" s="53"/>
      <c r="Y12" s="53"/>
      <c r="Z12" s="53"/>
      <c r="AA12" s="53"/>
      <c r="AB12" s="54"/>
      <c r="AC12" s="55"/>
      <c r="AD12" s="52"/>
      <c r="AE12" s="53"/>
      <c r="AF12" s="53"/>
      <c r="AG12" s="53"/>
      <c r="AH12" s="53"/>
      <c r="AI12" s="54"/>
      <c r="AJ12" s="55"/>
      <c r="AK12" s="235"/>
      <c r="AL12" s="236"/>
      <c r="AM12" s="236"/>
      <c r="AN12" s="236"/>
      <c r="AO12" s="236"/>
      <c r="AP12" s="236"/>
      <c r="AQ12" s="183"/>
    </row>
    <row r="13" spans="2:43" ht="13" thickBot="1" x14ac:dyDescent="0.3">
      <c r="B13" s="58"/>
      <c r="D13" s="60"/>
      <c r="E13" s="5" t="s">
        <v>144</v>
      </c>
      <c r="F13" s="51">
        <v>1</v>
      </c>
      <c r="G13" s="45">
        <v>90</v>
      </c>
      <c r="H13" s="46"/>
      <c r="I13" s="52">
        <f t="shared" ref="I13:J19" si="4">IF(I$6&lt;$E$3,0,IF(ISBLANK($E13),0,IF(I$6&lt;$E$2,0,1)))</f>
        <v>0</v>
      </c>
      <c r="J13" s="53">
        <f t="shared" si="4"/>
        <v>0</v>
      </c>
      <c r="K13" s="53">
        <f t="shared" ref="K13:M22" si="5">IF(K$6&lt;$E$3,0,IF(ISBLANK($E13),0,IF(K$6&lt;$E$2,0,1)))</f>
        <v>0</v>
      </c>
      <c r="L13" s="53">
        <f t="shared" ca="1" si="5"/>
        <v>0</v>
      </c>
      <c r="M13" s="53">
        <f t="shared" ca="1" si="5"/>
        <v>0</v>
      </c>
      <c r="N13" s="54">
        <v>1</v>
      </c>
      <c r="O13" s="55">
        <v>1</v>
      </c>
      <c r="P13" s="52">
        <v>1</v>
      </c>
      <c r="Q13" s="53">
        <v>1</v>
      </c>
      <c r="R13" s="53">
        <v>1</v>
      </c>
      <c r="S13" s="53">
        <v>1</v>
      </c>
      <c r="T13" s="53">
        <v>1</v>
      </c>
      <c r="U13" s="54">
        <v>1</v>
      </c>
      <c r="V13" s="55">
        <v>1</v>
      </c>
      <c r="W13" s="52">
        <v>1</v>
      </c>
      <c r="X13" s="53">
        <v>1</v>
      </c>
      <c r="Y13" s="53">
        <v>1</v>
      </c>
      <c r="Z13" s="53">
        <v>1</v>
      </c>
      <c r="AA13" s="53">
        <v>1</v>
      </c>
      <c r="AB13" s="54">
        <v>1</v>
      </c>
      <c r="AC13" s="55">
        <v>1</v>
      </c>
      <c r="AD13" s="52">
        <f t="shared" ref="AD13:AH19" ca="1" si="6">IF(AD$6&lt;$E$3,0,IF(ISBLANK($E13),0,IF(AD$6&lt;$E$2,0,1)))</f>
        <v>1</v>
      </c>
      <c r="AE13" s="53">
        <f t="shared" ca="1" si="6"/>
        <v>1</v>
      </c>
      <c r="AF13" s="53">
        <f t="shared" ca="1" si="6"/>
        <v>1</v>
      </c>
      <c r="AG13" s="53">
        <f t="shared" ca="1" si="6"/>
        <v>1</v>
      </c>
      <c r="AH13" s="53">
        <f t="shared" ca="1" si="6"/>
        <v>1</v>
      </c>
      <c r="AI13" s="54">
        <v>1</v>
      </c>
      <c r="AJ13" s="55">
        <v>1</v>
      </c>
      <c r="AK13" s="235">
        <v>90</v>
      </c>
      <c r="AL13" s="236"/>
      <c r="AM13" s="236"/>
      <c r="AN13" s="236"/>
      <c r="AO13" s="236"/>
      <c r="AP13" s="236"/>
      <c r="AQ13" s="183">
        <v>3</v>
      </c>
    </row>
    <row r="14" spans="2:43" ht="13" thickBot="1" x14ac:dyDescent="0.3">
      <c r="B14" s="58"/>
      <c r="D14" s="24"/>
      <c r="E14" s="5"/>
      <c r="F14" s="51"/>
      <c r="G14" s="45">
        <f>SUMIF(Sprint!$F$4:$F$1803,E14,Sprint!$CT$4:$CT$1803)</f>
        <v>0</v>
      </c>
      <c r="H14" s="46"/>
      <c r="I14" s="52">
        <f t="shared" si="4"/>
        <v>0</v>
      </c>
      <c r="J14" s="53">
        <f t="shared" si="4"/>
        <v>0</v>
      </c>
      <c r="K14" s="53">
        <f t="shared" si="5"/>
        <v>0</v>
      </c>
      <c r="L14" s="53">
        <f t="shared" si="5"/>
        <v>0</v>
      </c>
      <c r="M14" s="53">
        <f t="shared" si="5"/>
        <v>0</v>
      </c>
      <c r="N14" s="54"/>
      <c r="O14" s="55"/>
      <c r="P14" s="52">
        <f t="shared" ref="P14:T24" si="7">IF(P$6&lt;$E$3,0,IF(ISBLANK($E14),0,IF(P$6&lt;$E$2,0,1)))</f>
        <v>0</v>
      </c>
      <c r="Q14" s="53">
        <f t="shared" si="7"/>
        <v>0</v>
      </c>
      <c r="R14" s="53">
        <f t="shared" si="7"/>
        <v>0</v>
      </c>
      <c r="S14" s="53">
        <f t="shared" si="7"/>
        <v>0</v>
      </c>
      <c r="T14" s="53">
        <f t="shared" si="7"/>
        <v>0</v>
      </c>
      <c r="U14" s="54"/>
      <c r="V14" s="55"/>
      <c r="W14" s="52">
        <v>0</v>
      </c>
      <c r="X14" s="53">
        <f t="shared" ref="W14:AA19" si="8">IF(X$6&lt;$E$3,0,IF(ISBLANK($E14),0,IF(X$6&lt;$E$2,0,1)))</f>
        <v>0</v>
      </c>
      <c r="Y14" s="53">
        <f t="shared" si="8"/>
        <v>0</v>
      </c>
      <c r="Z14" s="53">
        <f t="shared" si="8"/>
        <v>0</v>
      </c>
      <c r="AA14" s="53">
        <f t="shared" si="8"/>
        <v>0</v>
      </c>
      <c r="AB14" s="54"/>
      <c r="AC14" s="55"/>
      <c r="AD14" s="52">
        <f t="shared" si="6"/>
        <v>0</v>
      </c>
      <c r="AE14" s="53">
        <f t="shared" si="6"/>
        <v>0</v>
      </c>
      <c r="AF14" s="53">
        <f t="shared" si="6"/>
        <v>0</v>
      </c>
      <c r="AG14" s="53">
        <f t="shared" si="6"/>
        <v>0</v>
      </c>
      <c r="AH14" s="53">
        <f t="shared" si="6"/>
        <v>0</v>
      </c>
      <c r="AI14" s="54"/>
      <c r="AJ14" s="55"/>
      <c r="AK14" s="235">
        <f t="shared" ref="AK14" si="9">IF(E14="unassigned",0,(COUNTIF(I14:AJ14,1)*$AQ14)*F14)</f>
        <v>0</v>
      </c>
      <c r="AL14" s="236"/>
      <c r="AM14" s="236"/>
      <c r="AN14" s="236"/>
      <c r="AO14" s="236"/>
      <c r="AP14" s="236"/>
      <c r="AQ14" s="183"/>
    </row>
    <row r="15" spans="2:43" ht="13" thickBot="1" x14ac:dyDescent="0.3">
      <c r="B15" s="58"/>
      <c r="D15" s="24"/>
      <c r="E15" s="5"/>
      <c r="F15" s="51"/>
      <c r="G15" s="45">
        <f>SUMIF(Sprint!$F$4:$F$1803,E15,Sprint!$CT$4:$CT$1803)</f>
        <v>0</v>
      </c>
      <c r="H15" s="46"/>
      <c r="I15" s="52">
        <f t="shared" si="4"/>
        <v>0</v>
      </c>
      <c r="J15" s="53">
        <f t="shared" si="4"/>
        <v>0</v>
      </c>
      <c r="K15" s="53">
        <f t="shared" si="5"/>
        <v>0</v>
      </c>
      <c r="L15" s="53">
        <f t="shared" si="5"/>
        <v>0</v>
      </c>
      <c r="M15" s="53">
        <f t="shared" si="5"/>
        <v>0</v>
      </c>
      <c r="N15" s="54"/>
      <c r="O15" s="55"/>
      <c r="P15" s="52">
        <f t="shared" si="7"/>
        <v>0</v>
      </c>
      <c r="Q15" s="53">
        <f t="shared" si="7"/>
        <v>0</v>
      </c>
      <c r="R15" s="53">
        <f t="shared" si="7"/>
        <v>0</v>
      </c>
      <c r="S15" s="53">
        <f t="shared" si="7"/>
        <v>0</v>
      </c>
      <c r="T15" s="53">
        <f t="shared" si="7"/>
        <v>0</v>
      </c>
      <c r="U15" s="54"/>
      <c r="V15" s="55"/>
      <c r="W15" s="52">
        <f t="shared" si="8"/>
        <v>0</v>
      </c>
      <c r="X15" s="53">
        <f t="shared" si="8"/>
        <v>0</v>
      </c>
      <c r="Y15" s="53">
        <f t="shared" si="8"/>
        <v>0</v>
      </c>
      <c r="Z15" s="53">
        <f t="shared" si="8"/>
        <v>0</v>
      </c>
      <c r="AA15" s="53">
        <f t="shared" si="8"/>
        <v>0</v>
      </c>
      <c r="AB15" s="54"/>
      <c r="AC15" s="55"/>
      <c r="AD15" s="52">
        <f t="shared" si="6"/>
        <v>0</v>
      </c>
      <c r="AE15" s="53">
        <v>0</v>
      </c>
      <c r="AF15" s="53">
        <v>0</v>
      </c>
      <c r="AG15" s="53">
        <v>0</v>
      </c>
      <c r="AH15" s="53">
        <f t="shared" si="6"/>
        <v>0</v>
      </c>
      <c r="AI15" s="54"/>
      <c r="AJ15" s="55"/>
      <c r="AK15" s="235">
        <f>IF(E15="unassigned",0,(COUNTIF(I15:AJ15,1)*$AQ$15)*F15)</f>
        <v>0</v>
      </c>
      <c r="AL15" s="236"/>
      <c r="AM15" s="236"/>
      <c r="AN15" s="236"/>
      <c r="AO15" s="236"/>
      <c r="AP15" s="236"/>
      <c r="AQ15" s="183"/>
    </row>
    <row r="16" spans="2:43" ht="13" thickBot="1" x14ac:dyDescent="0.3">
      <c r="B16" s="58"/>
      <c r="D16" s="60"/>
      <c r="E16" s="5"/>
      <c r="F16" s="51"/>
      <c r="G16" s="45">
        <f>SUMIF(Sprint!$F$4:$F$1803,E16,Sprint!$CT$4:$CT$1803)</f>
        <v>0</v>
      </c>
      <c r="H16" s="46"/>
      <c r="I16" s="52">
        <f t="shared" si="4"/>
        <v>0</v>
      </c>
      <c r="J16" s="53">
        <f t="shared" si="4"/>
        <v>0</v>
      </c>
      <c r="K16" s="53">
        <f t="shared" si="5"/>
        <v>0</v>
      </c>
      <c r="L16" s="53">
        <f t="shared" si="5"/>
        <v>0</v>
      </c>
      <c r="M16" s="53">
        <f t="shared" si="5"/>
        <v>0</v>
      </c>
      <c r="N16" s="54"/>
      <c r="O16" s="55"/>
      <c r="P16" s="52">
        <f t="shared" si="7"/>
        <v>0</v>
      </c>
      <c r="Q16" s="53">
        <f t="shared" si="7"/>
        <v>0</v>
      </c>
      <c r="R16" s="53">
        <f t="shared" si="7"/>
        <v>0</v>
      </c>
      <c r="S16" s="53">
        <f t="shared" si="7"/>
        <v>0</v>
      </c>
      <c r="T16" s="53">
        <f t="shared" si="7"/>
        <v>0</v>
      </c>
      <c r="U16" s="54"/>
      <c r="V16" s="55"/>
      <c r="W16" s="52">
        <f t="shared" si="8"/>
        <v>0</v>
      </c>
      <c r="X16" s="53">
        <f t="shared" si="8"/>
        <v>0</v>
      </c>
      <c r="Y16" s="53">
        <f t="shared" si="8"/>
        <v>0</v>
      </c>
      <c r="Z16" s="53">
        <f t="shared" si="8"/>
        <v>0</v>
      </c>
      <c r="AA16" s="53">
        <f t="shared" si="8"/>
        <v>0</v>
      </c>
      <c r="AB16" s="54"/>
      <c r="AC16" s="55"/>
      <c r="AD16" s="52">
        <v>0</v>
      </c>
      <c r="AE16" s="53">
        <v>0</v>
      </c>
      <c r="AF16" s="53">
        <v>0</v>
      </c>
      <c r="AG16" s="53">
        <v>0</v>
      </c>
      <c r="AH16" s="53">
        <v>0</v>
      </c>
      <c r="AI16" s="54"/>
      <c r="AJ16" s="55"/>
      <c r="AK16" s="235">
        <f>IF(E16="unassigned",0,(COUNTIF(I16:AJ16,1)*$AQ$16)*F16)</f>
        <v>0</v>
      </c>
      <c r="AL16" s="236"/>
      <c r="AM16" s="236"/>
      <c r="AN16" s="236"/>
      <c r="AO16" s="236"/>
      <c r="AP16" s="236"/>
      <c r="AQ16" s="183"/>
    </row>
    <row r="17" spans="2:43" ht="13" thickBot="1" x14ac:dyDescent="0.3">
      <c r="B17" s="58"/>
      <c r="D17" s="60"/>
      <c r="E17" s="5"/>
      <c r="F17" s="51"/>
      <c r="G17" s="45">
        <f>SUMIF(Sprint!$F$4:$F$1803,E17,Sprint!$CT$4:$CT$1803)</f>
        <v>0</v>
      </c>
      <c r="H17" s="61"/>
      <c r="I17" s="52">
        <f t="shared" si="4"/>
        <v>0</v>
      </c>
      <c r="J17" s="53">
        <f t="shared" si="4"/>
        <v>0</v>
      </c>
      <c r="K17" s="53">
        <f t="shared" si="5"/>
        <v>0</v>
      </c>
      <c r="L17" s="53">
        <f t="shared" si="5"/>
        <v>0</v>
      </c>
      <c r="M17" s="53">
        <f t="shared" si="5"/>
        <v>0</v>
      </c>
      <c r="N17" s="54"/>
      <c r="O17" s="55"/>
      <c r="P17" s="52">
        <f t="shared" si="7"/>
        <v>0</v>
      </c>
      <c r="Q17" s="53">
        <f t="shared" si="7"/>
        <v>0</v>
      </c>
      <c r="R17" s="53">
        <f t="shared" si="7"/>
        <v>0</v>
      </c>
      <c r="S17" s="53">
        <f t="shared" si="7"/>
        <v>0</v>
      </c>
      <c r="T17" s="53">
        <f t="shared" si="7"/>
        <v>0</v>
      </c>
      <c r="U17" s="54"/>
      <c r="V17" s="55"/>
      <c r="W17" s="52">
        <f t="shared" si="8"/>
        <v>0</v>
      </c>
      <c r="X17" s="53">
        <f t="shared" si="8"/>
        <v>0</v>
      </c>
      <c r="Y17" s="53">
        <f t="shared" si="8"/>
        <v>0</v>
      </c>
      <c r="Z17" s="53">
        <f t="shared" si="8"/>
        <v>0</v>
      </c>
      <c r="AA17" s="53">
        <f t="shared" si="8"/>
        <v>0</v>
      </c>
      <c r="AB17" s="54"/>
      <c r="AC17" s="55"/>
      <c r="AD17" s="52">
        <f t="shared" si="6"/>
        <v>0</v>
      </c>
      <c r="AE17" s="53">
        <f t="shared" si="6"/>
        <v>0</v>
      </c>
      <c r="AF17" s="53">
        <f t="shared" si="6"/>
        <v>0</v>
      </c>
      <c r="AG17" s="53">
        <f t="shared" si="6"/>
        <v>0</v>
      </c>
      <c r="AH17" s="53">
        <f t="shared" si="6"/>
        <v>0</v>
      </c>
      <c r="AI17" s="54"/>
      <c r="AJ17" s="55"/>
      <c r="AK17" s="235">
        <f t="shared" ref="AK17:AK24" si="10">IF(E17="unassigned",0,(COUNTIF(I17:AJ17,1)*$C$6)*F17)</f>
        <v>0</v>
      </c>
      <c r="AL17" s="236"/>
      <c r="AM17" s="236"/>
      <c r="AN17" s="236"/>
      <c r="AO17" s="236"/>
      <c r="AP17" s="236"/>
      <c r="AQ17" s="183"/>
    </row>
    <row r="18" spans="2:43" ht="13" thickBot="1" x14ac:dyDescent="0.3">
      <c r="B18" s="58"/>
      <c r="D18" s="60"/>
      <c r="E18" s="5"/>
      <c r="F18" s="51"/>
      <c r="G18" s="45">
        <f>SUMIF(Sprint!$F$4:$F$1803,E18,Sprint!$CT$4:$CT$1803)</f>
        <v>0</v>
      </c>
      <c r="H18" s="61"/>
      <c r="I18" s="52">
        <f t="shared" si="4"/>
        <v>0</v>
      </c>
      <c r="J18" s="53">
        <f t="shared" si="4"/>
        <v>0</v>
      </c>
      <c r="K18" s="53">
        <f t="shared" si="5"/>
        <v>0</v>
      </c>
      <c r="L18" s="53">
        <f t="shared" si="5"/>
        <v>0</v>
      </c>
      <c r="M18" s="53">
        <f t="shared" si="5"/>
        <v>0</v>
      </c>
      <c r="N18" s="54"/>
      <c r="O18" s="55"/>
      <c r="P18" s="52">
        <f t="shared" si="7"/>
        <v>0</v>
      </c>
      <c r="Q18" s="53">
        <f t="shared" si="7"/>
        <v>0</v>
      </c>
      <c r="R18" s="53">
        <f t="shared" si="7"/>
        <v>0</v>
      </c>
      <c r="S18" s="53">
        <f t="shared" si="7"/>
        <v>0</v>
      </c>
      <c r="T18" s="53">
        <f t="shared" si="7"/>
        <v>0</v>
      </c>
      <c r="U18" s="54"/>
      <c r="V18" s="55"/>
      <c r="W18" s="52">
        <f t="shared" si="8"/>
        <v>0</v>
      </c>
      <c r="X18" s="53">
        <f t="shared" si="8"/>
        <v>0</v>
      </c>
      <c r="Y18" s="53">
        <f t="shared" si="8"/>
        <v>0</v>
      </c>
      <c r="Z18" s="53">
        <f t="shared" si="8"/>
        <v>0</v>
      </c>
      <c r="AA18" s="53">
        <f t="shared" si="8"/>
        <v>0</v>
      </c>
      <c r="AB18" s="54"/>
      <c r="AC18" s="55"/>
      <c r="AD18" s="52">
        <f t="shared" si="6"/>
        <v>0</v>
      </c>
      <c r="AE18" s="53">
        <f t="shared" si="6"/>
        <v>0</v>
      </c>
      <c r="AF18" s="53">
        <f t="shared" si="6"/>
        <v>0</v>
      </c>
      <c r="AG18" s="53">
        <f t="shared" si="6"/>
        <v>0</v>
      </c>
      <c r="AH18" s="53">
        <f t="shared" si="6"/>
        <v>0</v>
      </c>
      <c r="AI18" s="54"/>
      <c r="AJ18" s="55"/>
      <c r="AK18" s="235">
        <f t="shared" si="10"/>
        <v>0</v>
      </c>
      <c r="AL18" s="236"/>
      <c r="AM18" s="236"/>
      <c r="AN18" s="236"/>
      <c r="AO18" s="236"/>
      <c r="AP18" s="236"/>
      <c r="AQ18" s="183"/>
    </row>
    <row r="19" spans="2:43" ht="13" thickBot="1" x14ac:dyDescent="0.3">
      <c r="B19" s="58"/>
      <c r="D19" s="60"/>
      <c r="E19" s="5"/>
      <c r="F19" s="51"/>
      <c r="G19" s="45">
        <f>SUMIF(Sprint!$F$4:$F$1803,E19,Sprint!$CT$4:$CT$1803)</f>
        <v>0</v>
      </c>
      <c r="H19" s="61"/>
      <c r="I19" s="52">
        <f t="shared" si="4"/>
        <v>0</v>
      </c>
      <c r="J19" s="53">
        <f t="shared" si="4"/>
        <v>0</v>
      </c>
      <c r="K19" s="53">
        <f t="shared" si="5"/>
        <v>0</v>
      </c>
      <c r="L19" s="53">
        <f t="shared" si="5"/>
        <v>0</v>
      </c>
      <c r="M19" s="53">
        <f t="shared" si="5"/>
        <v>0</v>
      </c>
      <c r="N19" s="54"/>
      <c r="O19" s="55"/>
      <c r="P19" s="52">
        <f t="shared" si="7"/>
        <v>0</v>
      </c>
      <c r="Q19" s="53">
        <f t="shared" si="7"/>
        <v>0</v>
      </c>
      <c r="R19" s="53">
        <f t="shared" si="7"/>
        <v>0</v>
      </c>
      <c r="S19" s="53">
        <f t="shared" si="7"/>
        <v>0</v>
      </c>
      <c r="T19" s="53">
        <f t="shared" si="7"/>
        <v>0</v>
      </c>
      <c r="U19" s="54"/>
      <c r="V19" s="55"/>
      <c r="W19" s="52">
        <f t="shared" si="8"/>
        <v>0</v>
      </c>
      <c r="X19" s="53">
        <f t="shared" si="8"/>
        <v>0</v>
      </c>
      <c r="Y19" s="53">
        <f t="shared" si="8"/>
        <v>0</v>
      </c>
      <c r="Z19" s="53">
        <f t="shared" si="8"/>
        <v>0</v>
      </c>
      <c r="AA19" s="53">
        <f t="shared" si="8"/>
        <v>0</v>
      </c>
      <c r="AB19" s="54"/>
      <c r="AC19" s="55"/>
      <c r="AD19" s="52">
        <f t="shared" si="6"/>
        <v>0</v>
      </c>
      <c r="AE19" s="53">
        <f t="shared" si="6"/>
        <v>0</v>
      </c>
      <c r="AF19" s="53">
        <f t="shared" si="6"/>
        <v>0</v>
      </c>
      <c r="AG19" s="53">
        <f t="shared" si="6"/>
        <v>0</v>
      </c>
      <c r="AH19" s="53">
        <f t="shared" si="6"/>
        <v>0</v>
      </c>
      <c r="AI19" s="54"/>
      <c r="AJ19" s="55"/>
      <c r="AK19" s="235">
        <f t="shared" si="10"/>
        <v>0</v>
      </c>
      <c r="AL19" s="236"/>
      <c r="AM19" s="236"/>
      <c r="AN19" s="236"/>
      <c r="AO19" s="236"/>
      <c r="AP19" s="236"/>
      <c r="AQ19" s="183"/>
    </row>
    <row r="20" spans="2:43" ht="13" thickBot="1" x14ac:dyDescent="0.3">
      <c r="B20" s="58"/>
      <c r="C20" s="62"/>
      <c r="D20" s="60"/>
      <c r="E20" s="5"/>
      <c r="F20" s="51"/>
      <c r="G20" s="45">
        <f>SUMIF(Sprint!$F$4:$F$1803,E20,Sprint!$CT$4:$CT$1803)</f>
        <v>0</v>
      </c>
      <c r="H20" s="61"/>
      <c r="I20" s="52">
        <f t="shared" ref="I20:J24" si="11">IF(I$6&lt;$E$3,0,IF(ISBLANK($E20),0,IF(I$6&lt;$E$2,0,1)))</f>
        <v>0</v>
      </c>
      <c r="J20" s="53">
        <f t="shared" si="11"/>
        <v>0</v>
      </c>
      <c r="K20" s="53">
        <f t="shared" si="5"/>
        <v>0</v>
      </c>
      <c r="L20" s="53">
        <f t="shared" si="5"/>
        <v>0</v>
      </c>
      <c r="M20" s="53">
        <f t="shared" si="5"/>
        <v>0</v>
      </c>
      <c r="N20" s="54"/>
      <c r="O20" s="55"/>
      <c r="P20" s="52">
        <f t="shared" ref="P20:Q24" si="12">IF(P$6&lt;$E$3,0,IF(ISBLANK($E20),0,IF(P$6&lt;$E$2,0,1)))</f>
        <v>0</v>
      </c>
      <c r="Q20" s="53">
        <f t="shared" si="12"/>
        <v>0</v>
      </c>
      <c r="R20" s="53">
        <f t="shared" ref="R20:S22" si="13">IF(R$6&lt;$E$3,0,IF(ISBLANK($E20),0,IF(R$6&lt;$E$2,0,1)))</f>
        <v>0</v>
      </c>
      <c r="S20" s="53">
        <f t="shared" si="13"/>
        <v>0</v>
      </c>
      <c r="T20" s="53">
        <f t="shared" si="7"/>
        <v>0</v>
      </c>
      <c r="U20" s="54"/>
      <c r="V20" s="55"/>
      <c r="W20" s="52">
        <f t="shared" ref="W20:AA22" si="14">IF(W$6&lt;$E$3,0,IF(ISBLANK($E20),0,IF(W$6&lt;$E$2,0,1)))</f>
        <v>0</v>
      </c>
      <c r="X20" s="53">
        <f t="shared" si="14"/>
        <v>0</v>
      </c>
      <c r="Y20" s="53">
        <f t="shared" si="14"/>
        <v>0</v>
      </c>
      <c r="Z20" s="53">
        <f t="shared" si="14"/>
        <v>0</v>
      </c>
      <c r="AA20" s="53">
        <f t="shared" si="14"/>
        <v>0</v>
      </c>
      <c r="AB20" s="54"/>
      <c r="AC20" s="55"/>
      <c r="AD20" s="52">
        <f>IF(AD$6&lt;$E$3,0,IF(ISBLANK($E20),0,IF(AD$6&lt;$E$2,0,1)))</f>
        <v>0</v>
      </c>
      <c r="AE20" s="53">
        <f t="shared" ref="AE20:AF22" si="15">IF(AE$6&lt;$E$3,0,IF(ISBLANK($E20),0,IF(AE$6&lt;$E$2,0,1)))</f>
        <v>0</v>
      </c>
      <c r="AF20" s="53">
        <f t="shared" si="15"/>
        <v>0</v>
      </c>
      <c r="AG20" s="53">
        <f t="shared" ref="AG20:AH22" si="16">IF(AG$6&lt;$E$3,0,IF(ISBLANK($E20),0,IF(AG$6&lt;$E$2,0,1)))</f>
        <v>0</v>
      </c>
      <c r="AH20" s="53">
        <f t="shared" si="16"/>
        <v>0</v>
      </c>
      <c r="AI20" s="54"/>
      <c r="AJ20" s="55"/>
      <c r="AK20" s="235">
        <f t="shared" si="10"/>
        <v>0</v>
      </c>
      <c r="AL20" s="236"/>
      <c r="AM20" s="236"/>
      <c r="AN20" s="236"/>
      <c r="AO20" s="236"/>
      <c r="AP20" s="236"/>
      <c r="AQ20" s="183"/>
    </row>
    <row r="21" spans="2:43" ht="13" thickBot="1" x14ac:dyDescent="0.3">
      <c r="B21" s="32"/>
      <c r="C21" s="63"/>
      <c r="D21" s="60"/>
      <c r="E21" s="5"/>
      <c r="F21" s="64"/>
      <c r="G21" s="45">
        <f>SUMIF(Sprint!$F$4:$F$1803,E21,Sprint!$CT$4:$CT$1803)</f>
        <v>0</v>
      </c>
      <c r="H21" s="61"/>
      <c r="I21" s="52">
        <f t="shared" si="11"/>
        <v>0</v>
      </c>
      <c r="J21" s="53">
        <f t="shared" si="11"/>
        <v>0</v>
      </c>
      <c r="K21" s="53">
        <f t="shared" si="5"/>
        <v>0</v>
      </c>
      <c r="L21" s="53">
        <f t="shared" si="5"/>
        <v>0</v>
      </c>
      <c r="M21" s="53">
        <f t="shared" si="5"/>
        <v>0</v>
      </c>
      <c r="N21" s="54"/>
      <c r="O21" s="55"/>
      <c r="P21" s="52">
        <f t="shared" si="12"/>
        <v>0</v>
      </c>
      <c r="Q21" s="53">
        <f t="shared" si="12"/>
        <v>0</v>
      </c>
      <c r="R21" s="53">
        <f t="shared" si="13"/>
        <v>0</v>
      </c>
      <c r="S21" s="53">
        <f t="shared" si="13"/>
        <v>0</v>
      </c>
      <c r="T21" s="53">
        <f t="shared" si="7"/>
        <v>0</v>
      </c>
      <c r="U21" s="54"/>
      <c r="V21" s="55"/>
      <c r="W21" s="52">
        <f t="shared" si="14"/>
        <v>0</v>
      </c>
      <c r="X21" s="53">
        <f t="shared" si="14"/>
        <v>0</v>
      </c>
      <c r="Y21" s="53">
        <f t="shared" si="14"/>
        <v>0</v>
      </c>
      <c r="Z21" s="53">
        <f t="shared" si="14"/>
        <v>0</v>
      </c>
      <c r="AA21" s="53">
        <f t="shared" si="14"/>
        <v>0</v>
      </c>
      <c r="AB21" s="54"/>
      <c r="AC21" s="55"/>
      <c r="AD21" s="52">
        <f>IF(AD$6&lt;$E$3,0,IF(ISBLANK($E21),0,IF(AD$6&lt;$E$2,0,1)))</f>
        <v>0</v>
      </c>
      <c r="AE21" s="53">
        <f t="shared" si="15"/>
        <v>0</v>
      </c>
      <c r="AF21" s="53">
        <f t="shared" si="15"/>
        <v>0</v>
      </c>
      <c r="AG21" s="53">
        <f t="shared" si="16"/>
        <v>0</v>
      </c>
      <c r="AH21" s="53">
        <f t="shared" si="16"/>
        <v>0</v>
      </c>
      <c r="AI21" s="54"/>
      <c r="AJ21" s="55"/>
      <c r="AK21" s="235">
        <f t="shared" si="10"/>
        <v>0</v>
      </c>
      <c r="AL21" s="236"/>
      <c r="AM21" s="236"/>
      <c r="AN21" s="236"/>
      <c r="AO21" s="236"/>
      <c r="AP21" s="236"/>
      <c r="AQ21" s="183"/>
    </row>
    <row r="22" spans="2:43" ht="13" thickBot="1" x14ac:dyDescent="0.3">
      <c r="B22" s="32"/>
      <c r="D22" s="60"/>
      <c r="E22" s="5"/>
      <c r="F22" s="64"/>
      <c r="G22" s="45">
        <f>SUMIF(Sprint!$F$4:$F$1803,E22,Sprint!$CT$4:$CT$1803)</f>
        <v>0</v>
      </c>
      <c r="H22" s="61"/>
      <c r="I22" s="52">
        <f t="shared" si="11"/>
        <v>0</v>
      </c>
      <c r="J22" s="53">
        <f t="shared" si="11"/>
        <v>0</v>
      </c>
      <c r="K22" s="53">
        <f t="shared" si="5"/>
        <v>0</v>
      </c>
      <c r="L22" s="53">
        <f t="shared" si="5"/>
        <v>0</v>
      </c>
      <c r="M22" s="53">
        <f t="shared" si="5"/>
        <v>0</v>
      </c>
      <c r="N22" s="54"/>
      <c r="O22" s="55"/>
      <c r="P22" s="52">
        <f t="shared" si="12"/>
        <v>0</v>
      </c>
      <c r="Q22" s="53">
        <f t="shared" si="12"/>
        <v>0</v>
      </c>
      <c r="R22" s="53">
        <f t="shared" si="13"/>
        <v>0</v>
      </c>
      <c r="S22" s="53">
        <f t="shared" si="13"/>
        <v>0</v>
      </c>
      <c r="T22" s="53">
        <f t="shared" si="7"/>
        <v>0</v>
      </c>
      <c r="U22" s="54"/>
      <c r="V22" s="55"/>
      <c r="W22" s="52">
        <f t="shared" si="14"/>
        <v>0</v>
      </c>
      <c r="X22" s="53">
        <f t="shared" si="14"/>
        <v>0</v>
      </c>
      <c r="Y22" s="53">
        <f t="shared" si="14"/>
        <v>0</v>
      </c>
      <c r="Z22" s="53">
        <f t="shared" si="14"/>
        <v>0</v>
      </c>
      <c r="AA22" s="53">
        <f t="shared" si="14"/>
        <v>0</v>
      </c>
      <c r="AB22" s="54"/>
      <c r="AC22" s="55"/>
      <c r="AD22" s="52">
        <f>IF(AD$6&lt;$E$3,0,IF(ISBLANK($E22),0,IF(AD$6&lt;$E$2,0,1)))</f>
        <v>0</v>
      </c>
      <c r="AE22" s="53">
        <f t="shared" si="15"/>
        <v>0</v>
      </c>
      <c r="AF22" s="53">
        <f t="shared" si="15"/>
        <v>0</v>
      </c>
      <c r="AG22" s="53">
        <f t="shared" si="16"/>
        <v>0</v>
      </c>
      <c r="AH22" s="53">
        <f t="shared" si="16"/>
        <v>0</v>
      </c>
      <c r="AI22" s="54"/>
      <c r="AJ22" s="55"/>
      <c r="AK22" s="235">
        <f t="shared" si="10"/>
        <v>0</v>
      </c>
      <c r="AL22" s="236"/>
      <c r="AM22" s="236"/>
      <c r="AN22" s="236"/>
      <c r="AO22" s="236"/>
      <c r="AP22" s="236"/>
      <c r="AQ22" s="183"/>
    </row>
    <row r="23" spans="2:43" ht="13" thickBot="1" x14ac:dyDescent="0.3">
      <c r="B23" s="58"/>
      <c r="D23" s="60"/>
      <c r="E23" s="5"/>
      <c r="F23" s="64"/>
      <c r="G23" s="45">
        <f>SUMIF(Sprint!$F$4:$F$1803,E23,Sprint!$CT$4:$CT$1803)</f>
        <v>0</v>
      </c>
      <c r="H23" s="61"/>
      <c r="I23" s="52">
        <f t="shared" si="11"/>
        <v>0</v>
      </c>
      <c r="J23" s="53">
        <f t="shared" si="11"/>
        <v>0</v>
      </c>
      <c r="K23" s="53">
        <f t="shared" ref="K23:M24" si="17">IF(K$6&lt;$E$3,0,IF(ISBLANK($E23),0,IF(K$6&lt;$E$2,0,1)))</f>
        <v>0</v>
      </c>
      <c r="L23" s="53">
        <f t="shared" si="17"/>
        <v>0</v>
      </c>
      <c r="M23" s="53">
        <f t="shared" si="17"/>
        <v>0</v>
      </c>
      <c r="N23" s="54"/>
      <c r="O23" s="55"/>
      <c r="P23" s="52">
        <f t="shared" si="12"/>
        <v>0</v>
      </c>
      <c r="Q23" s="53">
        <f t="shared" si="12"/>
        <v>0</v>
      </c>
      <c r="R23" s="53">
        <f t="shared" ref="R23:S24" si="18">IF(R$6&lt;$E$3,0,IF(ISBLANK($E23),0,IF(R$6&lt;$E$2,0,1)))</f>
        <v>0</v>
      </c>
      <c r="S23" s="53">
        <f t="shared" si="18"/>
        <v>0</v>
      </c>
      <c r="T23" s="53">
        <f t="shared" si="7"/>
        <v>0</v>
      </c>
      <c r="U23" s="54"/>
      <c r="V23" s="55"/>
      <c r="W23" s="52">
        <f>IF(W$6&lt;$E$3,0,IF(ISBLANK($E23),0,IF(W$6&lt;$E$2,0,1)))</f>
        <v>0</v>
      </c>
      <c r="X23" s="53">
        <f>IF(X$6&lt;$E$3,0,IF(ISBLANK($E23),0,IF(X$6&lt;$E$2,0,1)))</f>
        <v>0</v>
      </c>
      <c r="Y23" s="53">
        <f t="shared" ref="Y23:AA24" si="19">IF(Y$6&lt;$E$3,0,IF(ISBLANK($E23),0,IF(Y$6&lt;$E$2,0,1)))</f>
        <v>0</v>
      </c>
      <c r="Z23" s="53">
        <f t="shared" si="19"/>
        <v>0</v>
      </c>
      <c r="AA23" s="53">
        <f t="shared" si="19"/>
        <v>0</v>
      </c>
      <c r="AB23" s="54"/>
      <c r="AC23" s="55"/>
      <c r="AD23" s="52">
        <f>IF(AD$6&lt;$E$3,0,IF(ISBLANK($E23),0,IF(AD$6&lt;$E$2,0,1)))</f>
        <v>0</v>
      </c>
      <c r="AE23" s="53">
        <f>IF(AE$6&lt;$E$3,0,IF(ISBLANK($E23),0,IF(AE$6&lt;$E$2,0,1)))</f>
        <v>0</v>
      </c>
      <c r="AF23" s="53">
        <f t="shared" ref="AF23:AH24" si="20">IF(AF$6&lt;$E$3,0,IF(ISBLANK($E23),0,IF(AF$6&lt;$E$2,0,1)))</f>
        <v>0</v>
      </c>
      <c r="AG23" s="53">
        <f t="shared" si="20"/>
        <v>0</v>
      </c>
      <c r="AH23" s="53">
        <f t="shared" si="20"/>
        <v>0</v>
      </c>
      <c r="AI23" s="54"/>
      <c r="AJ23" s="55"/>
      <c r="AK23" s="235">
        <f t="shared" si="10"/>
        <v>0</v>
      </c>
      <c r="AL23" s="236"/>
      <c r="AM23" s="236"/>
      <c r="AN23" s="236"/>
      <c r="AO23" s="236"/>
      <c r="AP23" s="236"/>
      <c r="AQ23" s="183"/>
    </row>
    <row r="24" spans="2:43" ht="13" thickBot="1" x14ac:dyDescent="0.3">
      <c r="B24" s="58"/>
      <c r="D24" s="60"/>
      <c r="E24" s="65"/>
      <c r="F24" s="66"/>
      <c r="G24" s="45">
        <f>SUMIF(Sprint!$F$4:$F$1803,E24,Sprint!$CT$4:$CT$1803)</f>
        <v>0</v>
      </c>
      <c r="H24" s="61"/>
      <c r="I24" s="67">
        <f t="shared" si="11"/>
        <v>0</v>
      </c>
      <c r="J24" s="68">
        <f t="shared" si="11"/>
        <v>0</v>
      </c>
      <c r="K24" s="68">
        <f t="shared" si="17"/>
        <v>0</v>
      </c>
      <c r="L24" s="68">
        <f t="shared" si="17"/>
        <v>0</v>
      </c>
      <c r="M24" s="68">
        <f t="shared" si="17"/>
        <v>0</v>
      </c>
      <c r="N24" s="69"/>
      <c r="O24" s="70"/>
      <c r="P24" s="67">
        <f t="shared" si="12"/>
        <v>0</v>
      </c>
      <c r="Q24" s="68">
        <f t="shared" si="12"/>
        <v>0</v>
      </c>
      <c r="R24" s="68">
        <f t="shared" si="18"/>
        <v>0</v>
      </c>
      <c r="S24" s="68">
        <f t="shared" si="18"/>
        <v>0</v>
      </c>
      <c r="T24" s="53">
        <f t="shared" si="7"/>
        <v>0</v>
      </c>
      <c r="U24" s="69"/>
      <c r="V24" s="70"/>
      <c r="W24" s="67">
        <f>IF(W$6&lt;$E$3,0,IF(ISBLANK($E24),0,IF(W$6&lt;$E$2,0,1)))</f>
        <v>0</v>
      </c>
      <c r="X24" s="68">
        <f>IF(X$6&lt;$E$3,0,IF(ISBLANK($E24),0,IF(X$6&lt;$E$2,0,1)))</f>
        <v>0</v>
      </c>
      <c r="Y24" s="68">
        <f t="shared" si="19"/>
        <v>0</v>
      </c>
      <c r="Z24" s="68">
        <f t="shared" si="19"/>
        <v>0</v>
      </c>
      <c r="AA24" s="68">
        <f t="shared" si="19"/>
        <v>0</v>
      </c>
      <c r="AB24" s="69"/>
      <c r="AC24" s="70"/>
      <c r="AD24" s="67">
        <f>IF(AD$6&lt;$E$3,0,IF(ISBLANK($E24),0,IF(AD$6&lt;$E$2,0,1)))</f>
        <v>0</v>
      </c>
      <c r="AE24" s="68">
        <f>IF(AE$6&lt;$E$3,0,IF(ISBLANK($E24),0,IF(AE$6&lt;$E$2,0,1)))</f>
        <v>0</v>
      </c>
      <c r="AF24" s="68">
        <f t="shared" si="20"/>
        <v>0</v>
      </c>
      <c r="AG24" s="68">
        <f t="shared" si="20"/>
        <v>0</v>
      </c>
      <c r="AH24" s="68">
        <f t="shared" si="20"/>
        <v>0</v>
      </c>
      <c r="AI24" s="69"/>
      <c r="AJ24" s="70"/>
      <c r="AK24" s="235">
        <f t="shared" si="10"/>
        <v>0</v>
      </c>
      <c r="AL24" s="236"/>
      <c r="AM24" s="236"/>
      <c r="AN24" s="236"/>
      <c r="AO24" s="236"/>
      <c r="AP24" s="236"/>
      <c r="AQ24" s="183"/>
    </row>
    <row r="25" spans="2:43" x14ac:dyDescent="0.25">
      <c r="B25" s="58"/>
      <c r="D25" s="60"/>
      <c r="E25" s="71"/>
      <c r="F25" s="62"/>
      <c r="G25" s="72"/>
      <c r="I25" s="73"/>
      <c r="J25" s="74"/>
      <c r="K25" s="74"/>
      <c r="L25" s="74"/>
      <c r="M25" s="74"/>
      <c r="N25" s="75"/>
      <c r="O25" s="75"/>
      <c r="P25" s="74"/>
      <c r="Q25" s="74"/>
      <c r="R25" s="74"/>
      <c r="S25" s="74"/>
      <c r="T25" s="74"/>
      <c r="U25" s="75"/>
      <c r="V25" s="75"/>
      <c r="W25" s="74"/>
      <c r="X25" s="74"/>
      <c r="Y25" s="74"/>
      <c r="Z25" s="74"/>
      <c r="AA25" s="74"/>
      <c r="AB25" s="75"/>
      <c r="AC25" s="75"/>
      <c r="AD25" s="74"/>
      <c r="AE25" s="74"/>
      <c r="AF25" s="74"/>
      <c r="AG25" s="74"/>
      <c r="AH25" s="74"/>
      <c r="AI25" s="75"/>
      <c r="AJ25" s="75"/>
      <c r="AK25" s="76"/>
      <c r="AL25" s="76"/>
      <c r="AM25" s="76"/>
      <c r="AN25" s="76"/>
      <c r="AO25" s="76"/>
      <c r="AP25" s="76"/>
      <c r="AQ25" s="184"/>
    </row>
    <row r="26" spans="2:43" ht="13" thickBot="1" x14ac:dyDescent="0.3">
      <c r="B26" s="77"/>
      <c r="C26" s="78"/>
      <c r="D26" s="78"/>
      <c r="E26" s="79"/>
      <c r="F26" s="79"/>
      <c r="G26" s="80"/>
      <c r="I26" s="81"/>
      <c r="J26" s="79"/>
      <c r="K26" s="79"/>
      <c r="L26" s="79"/>
      <c r="M26" s="82"/>
      <c r="N26" s="82"/>
      <c r="O26" s="82"/>
      <c r="P26" s="82"/>
      <c r="Q26" s="82"/>
      <c r="R26" s="79"/>
      <c r="S26" s="79"/>
      <c r="T26" s="82"/>
      <c r="U26" s="82"/>
      <c r="V26" s="82"/>
      <c r="W26" s="82"/>
      <c r="X26" s="82"/>
      <c r="Y26" s="79"/>
      <c r="Z26" s="79"/>
      <c r="AA26" s="82"/>
      <c r="AB26" s="79"/>
      <c r="AC26" s="79"/>
      <c r="AD26" s="79"/>
      <c r="AE26" s="79"/>
      <c r="AF26" s="79"/>
      <c r="AG26" s="79"/>
      <c r="AH26" s="79"/>
      <c r="AI26" s="79"/>
      <c r="AJ26" s="79"/>
      <c r="AK26" s="79"/>
      <c r="AL26" s="79"/>
      <c r="AM26" s="79"/>
      <c r="AN26" s="79"/>
      <c r="AO26" s="79"/>
      <c r="AP26" s="79"/>
      <c r="AQ26" s="80"/>
    </row>
    <row r="28" spans="2:43" x14ac:dyDescent="0.25">
      <c r="I28" s="83" t="s">
        <v>54</v>
      </c>
      <c r="J28" s="8" t="s">
        <v>46</v>
      </c>
      <c r="K28" s="8" t="s">
        <v>55</v>
      </c>
      <c r="Q28" s="83" t="s">
        <v>53</v>
      </c>
      <c r="R28" s="8" t="s">
        <v>46</v>
      </c>
      <c r="S28" s="8" t="s">
        <v>57</v>
      </c>
    </row>
    <row r="29" spans="2:43" x14ac:dyDescent="0.25">
      <c r="C29" s="84"/>
      <c r="D29" s="84"/>
      <c r="F29" s="85"/>
    </row>
    <row r="30" spans="2:43" x14ac:dyDescent="0.25">
      <c r="B30" s="60"/>
      <c r="C30" s="84"/>
      <c r="D30" s="84"/>
      <c r="J30" s="1"/>
    </row>
    <row r="31" spans="2:43" x14ac:dyDescent="0.25">
      <c r="C31" s="84"/>
      <c r="D31" s="84"/>
      <c r="E31" s="85"/>
      <c r="F31" s="18"/>
    </row>
    <row r="36" spans="2:26" x14ac:dyDescent="0.25">
      <c r="I36" s="86"/>
    </row>
    <row r="37" spans="2:26" x14ac:dyDescent="0.25">
      <c r="J37" s="87"/>
      <c r="K37" s="88"/>
      <c r="L37" s="88"/>
      <c r="M37" s="88"/>
      <c r="N37" s="88"/>
      <c r="O37" s="88"/>
      <c r="Q37" s="87"/>
      <c r="R37" s="88"/>
      <c r="S37" s="88"/>
      <c r="T37" s="88"/>
      <c r="U37" s="88"/>
      <c r="V37" s="88"/>
      <c r="X37" s="88"/>
      <c r="Y37" s="89"/>
      <c r="Z37" s="88"/>
    </row>
    <row r="39" spans="2:26" x14ac:dyDescent="0.25">
      <c r="E39" s="1"/>
    </row>
    <row r="44" spans="2:26" x14ac:dyDescent="0.25">
      <c r="B44" s="90"/>
      <c r="E44" s="86"/>
    </row>
  </sheetData>
  <mergeCells count="20">
    <mergeCell ref="AK24:AP24"/>
    <mergeCell ref="AK21:AP21"/>
    <mergeCell ref="AK10:AP10"/>
    <mergeCell ref="AK16:AP16"/>
    <mergeCell ref="AK17:AP17"/>
    <mergeCell ref="AK13:AP13"/>
    <mergeCell ref="AK14:AP14"/>
    <mergeCell ref="AK15:AP15"/>
    <mergeCell ref="AK18:AP18"/>
    <mergeCell ref="AK19:AP19"/>
    <mergeCell ref="AK20:AP20"/>
    <mergeCell ref="AK22:AP22"/>
    <mergeCell ref="AK23:AP23"/>
    <mergeCell ref="B5:G5"/>
    <mergeCell ref="AK6:AP6"/>
    <mergeCell ref="AK12:AP12"/>
    <mergeCell ref="AK11:AP11"/>
    <mergeCell ref="AK7:AP7"/>
    <mergeCell ref="AK8:AP8"/>
    <mergeCell ref="AK9:AP9"/>
  </mergeCells>
  <phoneticPr fontId="0" type="noConversion"/>
  <conditionalFormatting sqref="G8:G24">
    <cfRule type="expression" dxfId="40" priority="11" stopIfTrue="1">
      <formula>G8&gt;AK8</formula>
    </cfRule>
  </conditionalFormatting>
  <conditionalFormatting sqref="W8:AA24 AD8:AH24 I8:M24 P8:T24">
    <cfRule type="cellIs" dxfId="39" priority="14" stopIfTrue="1" operator="equal">
      <formula>"H"</formula>
    </cfRule>
    <cfRule type="cellIs" dxfId="38" priority="15" stopIfTrue="1" operator="equal">
      <formula>"V"</formula>
    </cfRule>
    <cfRule type="expression" dxfId="37" priority="16" stopIfTrue="1">
      <formula>IF(I$6&lt;$E$2,1,0)</formula>
    </cfRule>
  </conditionalFormatting>
  <conditionalFormatting sqref="AL29:AL33 AL25:AL27 J31:J33 J25:J29 I25:I33 Q28 T25:AK33 K25:O33 P29:S33 P25:S27 AP25:AQ26 N8:O24 U8:V24 AI8:AJ24 AB8:AC24">
    <cfRule type="cellIs" dxfId="36" priority="22" stopIfTrue="1" operator="equal">
      <formula>"DIO"</formula>
    </cfRule>
    <cfRule type="cellIs" dxfId="35" priority="23" stopIfTrue="1" operator="equal">
      <formula>"H"</formula>
    </cfRule>
    <cfRule type="cellIs" dxfId="34" priority="24" stopIfTrue="1" operator="equal">
      <formula>"V"</formula>
    </cfRule>
  </conditionalFormatting>
  <conditionalFormatting sqref="AD6 W6 P6">
    <cfRule type="expression" dxfId="33" priority="30" stopIfTrue="1">
      <formula>P$6=TODAY()</formula>
    </cfRule>
    <cfRule type="expression" dxfId="32" priority="31" stopIfTrue="1">
      <formula>IF((P$6+1-$E$3)=$F$6,1,0)</formula>
    </cfRule>
  </conditionalFormatting>
  <conditionalFormatting sqref="AE6:AJ6 X6:AC6 Q6:V6 J6:O6">
    <cfRule type="expression" dxfId="31" priority="32" stopIfTrue="1">
      <formula>J$6=TODAY()</formula>
    </cfRule>
    <cfRule type="expression" dxfId="30" priority="33" stopIfTrue="1">
      <formula>IF((J$6+1-$E$3)=$F$6,1,0)</formula>
    </cfRule>
  </conditionalFormatting>
  <conditionalFormatting sqref="I6">
    <cfRule type="expression" dxfId="29" priority="34" stopIfTrue="1">
      <formula>I$6=TODAY()</formula>
    </cfRule>
    <cfRule type="expression" dxfId="28" priority="35" stopIfTrue="1">
      <formula>IF((J$6+1-$E$3)=$F$6,1,0)</formula>
    </cfRule>
  </conditionalFormatting>
  <conditionalFormatting sqref="F25:F26 F19:F20 F8:F16">
    <cfRule type="expression" dxfId="27" priority="10" stopIfTrue="1">
      <formula>H8&gt;AL8</formula>
    </cfRule>
  </conditionalFormatting>
  <conditionalFormatting sqref="F30:F32">
    <cfRule type="expression" dxfId="26" priority="13" stopIfTrue="1">
      <formula>H28&gt;AL28</formula>
    </cfRule>
  </conditionalFormatting>
  <conditionalFormatting sqref="C10">
    <cfRule type="cellIs" dxfId="25" priority="17" stopIfTrue="1" operator="greaterThan">
      <formula>0</formula>
    </cfRule>
    <cfRule type="cellIs" dxfId="24" priority="18" stopIfTrue="1" operator="lessThanOrEqual">
      <formula>0</formula>
    </cfRule>
  </conditionalFormatting>
  <conditionalFormatting sqref="C21 D14:D15 D6:D12 C6:C9">
    <cfRule type="cellIs" dxfId="23" priority="19" stopIfTrue="1" operator="equal">
      <formula>"3A"</formula>
    </cfRule>
    <cfRule type="cellIs" dxfId="22" priority="20" stopIfTrue="1" operator="equal">
      <formula>"3B"</formula>
    </cfRule>
  </conditionalFormatting>
  <conditionalFormatting sqref="G31:G33 G6">
    <cfRule type="cellIs" dxfId="21" priority="21" stopIfTrue="1" operator="equal">
      <formula>"Done"</formula>
    </cfRule>
  </conditionalFormatting>
  <conditionalFormatting sqref="I7:K7 M7:AK7">
    <cfRule type="cellIs" dxfId="20" priority="25" stopIfTrue="1" operator="equal">
      <formula>"DIO"</formula>
    </cfRule>
    <cfRule type="cellIs" dxfId="19" priority="26" stopIfTrue="1" operator="equal">
      <formula>"H"</formula>
    </cfRule>
    <cfRule type="cellIs" dxfId="18" priority="27" stopIfTrue="1" operator="equal">
      <formula>"V"</formula>
    </cfRule>
  </conditionalFormatting>
  <conditionalFormatting sqref="L7">
    <cfRule type="cellIs" dxfId="17" priority="28" stopIfTrue="1" operator="equal">
      <formula>"DIO"</formula>
    </cfRule>
    <cfRule type="cellIs" dxfId="16" priority="29" stopIfTrue="1" operator="equal">
      <formula>"H"</formula>
    </cfRule>
  </conditionalFormatting>
  <conditionalFormatting sqref="F17">
    <cfRule type="expression" dxfId="15" priority="6" stopIfTrue="1">
      <formula>H17&gt;AL17</formula>
    </cfRule>
  </conditionalFormatting>
  <conditionalFormatting sqref="F18">
    <cfRule type="expression" dxfId="14" priority="4" stopIfTrue="1">
      <formula>H18&gt;AL18</formula>
    </cfRule>
  </conditionalFormatting>
  <conditionalFormatting sqref="F16">
    <cfRule type="expression" dxfId="13" priority="3" stopIfTrue="1">
      <formula>H16&gt;AL16</formula>
    </cfRule>
  </conditionalFormatting>
  <conditionalFormatting sqref="F17">
    <cfRule type="expression" dxfId="12" priority="2" stopIfTrue="1">
      <formula>H17&gt;AL17</formula>
    </cfRule>
  </conditionalFormatting>
  <dataValidations count="1">
    <dataValidation type="list" allowBlank="1" showInputMessage="1" showErrorMessage="1" sqref="B29 E8:E24" xr:uid="{00000000-0002-0000-0300-000000000000}">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2"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D34"/>
  <sheetViews>
    <sheetView zoomScale="85" zoomScaleNormal="85" workbookViewId="0">
      <selection activeCell="E38" sqref="E38"/>
    </sheetView>
  </sheetViews>
  <sheetFormatPr defaultRowHeight="12.5" x14ac:dyDescent="0.25"/>
  <cols>
    <col min="1" max="1" width="21.54296875" bestFit="1" customWidth="1"/>
    <col min="2" max="2" width="6.6328125" style="174" bestFit="1" customWidth="1"/>
    <col min="3" max="3" width="7.36328125" bestFit="1" customWidth="1"/>
  </cols>
  <sheetData>
    <row r="2" spans="1:4" ht="14.5" x14ac:dyDescent="0.35">
      <c r="A2" s="161" t="s">
        <v>112</v>
      </c>
      <c r="B2" s="171"/>
    </row>
    <row r="3" spans="1:4" ht="14.5" x14ac:dyDescent="0.35">
      <c r="A3" s="162" t="s">
        <v>113</v>
      </c>
      <c r="B3" s="172">
        <f>COUNTIF(Sprint!$A$4:$A$46,A3)</f>
        <v>0</v>
      </c>
      <c r="C3" s="160" t="e">
        <f>B3/$B$7</f>
        <v>#DIV/0!</v>
      </c>
      <c r="D3" s="170"/>
    </row>
    <row r="4" spans="1:4" ht="14.5" x14ac:dyDescent="0.35">
      <c r="A4" s="162" t="s">
        <v>114</v>
      </c>
      <c r="B4" s="172">
        <f>COUNTIF(Sprint!$A$4:$A$46,A4)</f>
        <v>0</v>
      </c>
      <c r="C4" s="160" t="e">
        <f t="shared" ref="C4:C6" si="0">B4/$B$7</f>
        <v>#DIV/0!</v>
      </c>
    </row>
    <row r="5" spans="1:4" ht="14.5" x14ac:dyDescent="0.35">
      <c r="A5" s="162" t="s">
        <v>115</v>
      </c>
      <c r="B5" s="172">
        <f>COUNTIF(Sprint!$A$4:$A$46,A5)</f>
        <v>0</v>
      </c>
      <c r="C5" s="160" t="e">
        <f t="shared" si="0"/>
        <v>#DIV/0!</v>
      </c>
    </row>
    <row r="6" spans="1:4" ht="14.5" x14ac:dyDescent="0.35">
      <c r="A6" s="162" t="s">
        <v>116</v>
      </c>
      <c r="B6" s="172">
        <f>COUNTIF(Sprint!$A$4:$A$46,A6)</f>
        <v>0</v>
      </c>
      <c r="C6" s="160" t="e">
        <f t="shared" si="0"/>
        <v>#DIV/0!</v>
      </c>
    </row>
    <row r="7" spans="1:4" ht="14.5" x14ac:dyDescent="0.35">
      <c r="A7" s="164" t="s">
        <v>117</v>
      </c>
      <c r="B7" s="165">
        <f>SUM(B3:B6)</f>
        <v>0</v>
      </c>
      <c r="C7" s="166" t="e">
        <f>SUM(C3:C6)</f>
        <v>#DIV/0!</v>
      </c>
    </row>
    <row r="8" spans="1:4" ht="14.5" x14ac:dyDescent="0.35">
      <c r="A8" s="163"/>
      <c r="B8" s="172"/>
    </row>
    <row r="9" spans="1:4" ht="14.5" x14ac:dyDescent="0.35">
      <c r="A9" s="164" t="s">
        <v>123</v>
      </c>
      <c r="B9" s="172"/>
    </row>
    <row r="10" spans="1:4" ht="14.5" x14ac:dyDescent="0.35">
      <c r="A10" s="162" t="s">
        <v>118</v>
      </c>
      <c r="B10" s="172">
        <f>COUNTIF(Sprint!$B$4:$B$163,A10)</f>
        <v>0</v>
      </c>
      <c r="C10" s="160" t="e">
        <f>B10/$B$26</f>
        <v>#DIV/0!</v>
      </c>
    </row>
    <row r="11" spans="1:4" ht="14.5" x14ac:dyDescent="0.35">
      <c r="A11" s="162" t="s">
        <v>124</v>
      </c>
      <c r="B11" s="172">
        <f>COUNTIF(Sprint!$B$4:$B$163,A11)</f>
        <v>0</v>
      </c>
      <c r="C11" s="160" t="e">
        <f>B11/$B$26</f>
        <v>#DIV/0!</v>
      </c>
    </row>
    <row r="12" spans="1:4" ht="14.5" x14ac:dyDescent="0.35">
      <c r="A12" s="162" t="s">
        <v>125</v>
      </c>
      <c r="B12" s="172">
        <f>COUNTIF(Sprint!$B$4:$B$163,A12)</f>
        <v>0</v>
      </c>
      <c r="C12" s="160" t="e">
        <f>B12/$B$26</f>
        <v>#DIV/0!</v>
      </c>
    </row>
    <row r="13" spans="1:4" ht="14.5" x14ac:dyDescent="0.35">
      <c r="A13" s="162" t="s">
        <v>126</v>
      </c>
      <c r="B13" s="172">
        <f>COUNTIF(Sprint!$B$4:$B$163,A13)</f>
        <v>0</v>
      </c>
      <c r="C13" s="160" t="e">
        <f t="shared" ref="C13:C25" si="1">B13/$B$26</f>
        <v>#DIV/0!</v>
      </c>
    </row>
    <row r="14" spans="1:4" ht="14.5" x14ac:dyDescent="0.35">
      <c r="A14" s="162" t="s">
        <v>127</v>
      </c>
      <c r="B14" s="172">
        <f>COUNTIF(Sprint!$B$4:$B$163,A14)</f>
        <v>0</v>
      </c>
      <c r="C14" s="160" t="e">
        <f t="shared" si="1"/>
        <v>#DIV/0!</v>
      </c>
    </row>
    <row r="15" spans="1:4" ht="14.5" x14ac:dyDescent="0.35">
      <c r="A15" s="162" t="s">
        <v>128</v>
      </c>
      <c r="B15" s="172">
        <f>COUNTIF(Sprint!$B$4:$B$163,A15)</f>
        <v>0</v>
      </c>
      <c r="C15" s="160" t="e">
        <f t="shared" si="1"/>
        <v>#DIV/0!</v>
      </c>
    </row>
    <row r="16" spans="1:4" ht="14.5" x14ac:dyDescent="0.35">
      <c r="A16" s="162" t="s">
        <v>129</v>
      </c>
      <c r="B16" s="172">
        <f>COUNTIF(Sprint!$B$4:$B$163,A16)</f>
        <v>0</v>
      </c>
      <c r="C16" s="160" t="e">
        <f t="shared" si="1"/>
        <v>#DIV/0!</v>
      </c>
    </row>
    <row r="17" spans="1:3" ht="14.5" x14ac:dyDescent="0.35">
      <c r="A17" s="162" t="s">
        <v>130</v>
      </c>
      <c r="B17" s="172">
        <f>COUNTIF(Sprint!$B$4:$B$163,A17)</f>
        <v>0</v>
      </c>
      <c r="C17" s="160" t="e">
        <f t="shared" si="1"/>
        <v>#DIV/0!</v>
      </c>
    </row>
    <row r="18" spans="1:3" ht="14.5" x14ac:dyDescent="0.35">
      <c r="A18" s="162" t="s">
        <v>131</v>
      </c>
      <c r="B18" s="172">
        <f>COUNTIF(Sprint!$B$4:$B$163,A18)</f>
        <v>0</v>
      </c>
      <c r="C18" s="160" t="e">
        <f t="shared" si="1"/>
        <v>#DIV/0!</v>
      </c>
    </row>
    <row r="19" spans="1:3" ht="14.5" x14ac:dyDescent="0.35">
      <c r="A19" s="162" t="s">
        <v>132</v>
      </c>
      <c r="B19" s="172">
        <f>COUNTIF(Sprint!$B$4:$B$163,A19)</f>
        <v>0</v>
      </c>
      <c r="C19" s="160" t="e">
        <f t="shared" si="1"/>
        <v>#DIV/0!</v>
      </c>
    </row>
    <row r="20" spans="1:3" ht="14.5" x14ac:dyDescent="0.35">
      <c r="A20" s="162" t="s">
        <v>133</v>
      </c>
      <c r="B20" s="172">
        <f>COUNTIF(Sprint!$B$4:$B$163,A20)</f>
        <v>0</v>
      </c>
      <c r="C20" s="160" t="e">
        <f t="shared" si="1"/>
        <v>#DIV/0!</v>
      </c>
    </row>
    <row r="21" spans="1:3" ht="14.5" x14ac:dyDescent="0.35">
      <c r="A21" s="162" t="s">
        <v>134</v>
      </c>
      <c r="B21" s="172">
        <f>COUNTIF(Sprint!$B$4:$B$163,A21)</f>
        <v>0</v>
      </c>
      <c r="C21" s="160" t="e">
        <f t="shared" si="1"/>
        <v>#DIV/0!</v>
      </c>
    </row>
    <row r="22" spans="1:3" ht="14.5" x14ac:dyDescent="0.35">
      <c r="A22" s="162" t="s">
        <v>135</v>
      </c>
      <c r="B22" s="172">
        <f>COUNTIF(Sprint!$B$4:$B$163,A22)</f>
        <v>0</v>
      </c>
      <c r="C22" s="160" t="e">
        <f t="shared" si="1"/>
        <v>#DIV/0!</v>
      </c>
    </row>
    <row r="23" spans="1:3" ht="14.5" x14ac:dyDescent="0.35">
      <c r="A23" s="162" t="s">
        <v>136</v>
      </c>
      <c r="B23" s="172">
        <f>COUNTIF(Sprint!$B$4:$B$163,A23)</f>
        <v>0</v>
      </c>
      <c r="C23" s="160" t="e">
        <f t="shared" si="1"/>
        <v>#DIV/0!</v>
      </c>
    </row>
    <row r="24" spans="1:3" ht="14.5" x14ac:dyDescent="0.35">
      <c r="A24" s="162" t="s">
        <v>137</v>
      </c>
      <c r="B24" s="172">
        <f>COUNTIF(Sprint!$B$4:$B$163,A24)</f>
        <v>0</v>
      </c>
      <c r="C24" s="160" t="e">
        <f t="shared" si="1"/>
        <v>#DIV/0!</v>
      </c>
    </row>
    <row r="25" spans="1:3" ht="14.5" x14ac:dyDescent="0.35">
      <c r="A25" s="162" t="s">
        <v>138</v>
      </c>
      <c r="B25" s="172">
        <f>COUNTIF(Sprint!$B$4:$B$163,A25)</f>
        <v>0</v>
      </c>
      <c r="C25" s="160" t="e">
        <f t="shared" si="1"/>
        <v>#DIV/0!</v>
      </c>
    </row>
    <row r="26" spans="1:3" ht="14.5" x14ac:dyDescent="0.35">
      <c r="A26" s="164" t="s">
        <v>117</v>
      </c>
      <c r="B26" s="173">
        <f>SUM(B10:B25)</f>
        <v>0</v>
      </c>
      <c r="C26" s="160" t="e">
        <f>SUM(C10:C25)</f>
        <v>#DIV/0!</v>
      </c>
    </row>
    <row r="28" spans="1:3" ht="14.5" x14ac:dyDescent="0.35">
      <c r="A28" s="167" t="s">
        <v>119</v>
      </c>
    </row>
    <row r="29" spans="1:3" ht="14.5" x14ac:dyDescent="0.35">
      <c r="A29" s="162" t="s">
        <v>120</v>
      </c>
      <c r="B29" s="172">
        <f ca="1">COUNTIF(Sprint!$G$4:$G$46,A29)</f>
        <v>5</v>
      </c>
      <c r="C29" s="160">
        <f ca="1">B29/$B$34</f>
        <v>0.7142857142857143</v>
      </c>
    </row>
    <row r="30" spans="1:3" ht="14.5" x14ac:dyDescent="0.35">
      <c r="A30" s="162" t="s">
        <v>139</v>
      </c>
      <c r="B30" s="172">
        <f ca="1">COUNTIF(Sprint!$G$4:$G$46,A30)</f>
        <v>2</v>
      </c>
      <c r="C30" s="160">
        <f t="shared" ref="C30:C33" ca="1" si="2">B30/$B$34</f>
        <v>0.2857142857142857</v>
      </c>
    </row>
    <row r="31" spans="1:3" ht="14.5" x14ac:dyDescent="0.35">
      <c r="A31" s="162" t="s">
        <v>140</v>
      </c>
      <c r="B31" s="172">
        <f ca="1">COUNTIF(Sprint!$G$4:$G$46,A31)</f>
        <v>0</v>
      </c>
      <c r="C31" s="160">
        <f t="shared" ca="1" si="2"/>
        <v>0</v>
      </c>
    </row>
    <row r="32" spans="1:3" ht="14.5" x14ac:dyDescent="0.35">
      <c r="A32" s="162" t="s">
        <v>121</v>
      </c>
      <c r="B32" s="172">
        <f ca="1">COUNTIF(Sprint!$G$4:$G$46,A32)</f>
        <v>0</v>
      </c>
      <c r="C32" s="160">
        <f t="shared" ca="1" si="2"/>
        <v>0</v>
      </c>
    </row>
    <row r="33" spans="1:3" ht="14.5" x14ac:dyDescent="0.35">
      <c r="A33" s="167" t="s">
        <v>122</v>
      </c>
      <c r="B33" s="172">
        <f ca="1">COUNTIF(Sprint!$G$4:$G$46,A33)</f>
        <v>0</v>
      </c>
      <c r="C33" s="160">
        <f t="shared" ca="1" si="2"/>
        <v>0</v>
      </c>
    </row>
    <row r="34" spans="1:3" ht="14.5" x14ac:dyDescent="0.35">
      <c r="A34" s="168" t="s">
        <v>117</v>
      </c>
      <c r="B34" s="165">
        <f ca="1">SUM(B29:B33)</f>
        <v>7</v>
      </c>
      <c r="C34" s="169">
        <f ca="1">SUM(C29:C33)</f>
        <v>1</v>
      </c>
    </row>
  </sheetData>
  <phoneticPr fontId="4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27</vt:i4>
      </vt:variant>
    </vt:vector>
  </HeadingPairs>
  <TitlesOfParts>
    <vt:vector size="32" baseType="lpstr">
      <vt:lpstr>Sprint</vt:lpstr>
      <vt:lpstr>Analysis</vt:lpstr>
      <vt:lpstr>Team Roster</vt:lpstr>
      <vt:lpstr>Capacity</vt:lpstr>
      <vt:lpstr>Project Specific Reports</vt:lpstr>
      <vt:lpstr>Analysis!Burndown</vt:lpstr>
      <vt:lpstr>Burndown</vt:lpstr>
      <vt:lpstr>Analysis!BurndownColumns</vt:lpstr>
      <vt:lpstr>BurndownColumns</vt:lpstr>
      <vt:lpstr>Analysis!DailyScrumDateModifier</vt:lpstr>
      <vt:lpstr>DailyScrumDateModifier</vt:lpstr>
      <vt:lpstr>Analysis!HoursLeftColumn</vt:lpstr>
      <vt:lpstr>HoursLeftColumn</vt:lpstr>
      <vt:lpstr>Analysis!HoursSpentColumn</vt:lpstr>
      <vt:lpstr>HoursSpentColumn</vt:lpstr>
      <vt:lpstr>Analysis!LeftColumn</vt:lpstr>
      <vt:lpstr>LeftColumn</vt:lpstr>
      <vt:lpstr>Capacity!Print_Area</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dc:description>The spreadsheet has been updated from the deluxe scrum toolkit 4.01 to include 2 extra sheets Team Roster and Capacity. The intention is to allow Scrum Masters to manage sprint team resources.</dc:description>
  <cp:lastModifiedBy>DELL</cp:lastModifiedBy>
  <cp:revision>1</cp:revision>
  <cp:lastPrinted>2005-08-15T09:18:22Z</cp:lastPrinted>
  <dcterms:created xsi:type="dcterms:W3CDTF">2005-01-26T21:50:47Z</dcterms:created>
  <dcterms:modified xsi:type="dcterms:W3CDTF">2017-12-12T15:05:53Z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